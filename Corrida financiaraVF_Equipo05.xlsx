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C:\Users\edmat\OneDrive\Escritorio\"/>
    </mc:Choice>
  </mc:AlternateContent>
  <xr:revisionPtr revIDLastSave="0" documentId="13_ncr:1_{9CF5620B-CD2E-4914-B62A-7A8D735075FA}" xr6:coauthVersionLast="36" xr6:coauthVersionMax="47" xr10:uidLastSave="{00000000-0000-0000-0000-000000000000}"/>
  <bookViews>
    <workbookView xWindow="0" yWindow="0" windowWidth="15345" windowHeight="4380" tabRatio="667" firstSheet="12" activeTab="12" xr2:uid="{7884CE46-1C29-0140-8D7E-3C79C95456E7}"/>
  </bookViews>
  <sheets>
    <sheet name="DATOS" sheetId="25" r:id="rId1"/>
    <sheet name="CUADRO DE INVERSION" sheetId="31" r:id="rId2"/>
    <sheet name="ESTRUCTURA FINANCIERA" sheetId="8" r:id="rId3"/>
    <sheet name="CUADRO DE EGRESOS E INGRESOS" sheetId="9" r:id="rId4"/>
    <sheet name="PUNTO DE EQUILIBRIO" sheetId="32" r:id="rId5"/>
    <sheet name="M. DE CALCULO DE COSTOS VAR" sheetId="30" r:id="rId6"/>
    <sheet name="M. DE CALCULO DE GASTOS FIJO" sheetId="29" r:id="rId7"/>
    <sheet name="COSTOS " sheetId="28" r:id="rId8"/>
    <sheet name="INGRESOS " sheetId="34" r:id="rId9"/>
    <sheet name="DEPRECIACIONES" sheetId="18" r:id="rId10"/>
    <sheet name="AMORTIZACIONES" sheetId="36" r:id="rId11"/>
    <sheet name="SENSIBILIDAD" sheetId="10" r:id="rId12"/>
    <sheet name="TIR - VAN" sheetId="22" r:id="rId13"/>
    <sheet name="ESTADO DE RESULTADOS" sheetId="24" r:id="rId14"/>
    <sheet name="ESTADO DE SITUACIÓN FINANCIERA" sheetId="41" r:id="rId15"/>
    <sheet name="BALANZA" sheetId="38" r:id="rId16"/>
    <sheet name="LIBRO MAYOR" sheetId="40" r:id="rId17"/>
    <sheet name="CRONOGRAMA DE ACTIVIDADES " sheetId="42" r:id="rId18"/>
  </sheets>
  <externalReferences>
    <externalReference r:id="rId19"/>
    <externalReference r:id="rId20"/>
  </externalReferences>
  <definedNames>
    <definedName name="CAJA_DE_CAPTACION" localSheetId="17">#REF!</definedName>
    <definedName name="CAJA_DE_CAPTACION" localSheetId="14">#REF!</definedName>
    <definedName name="CAJA_DE_CAPTACION">#REF!</definedName>
    <definedName name="LIN_DISTR_ELECT." localSheetId="15">'[1]PRES 1'!#REF!</definedName>
    <definedName name="LIN_DISTR_ELECT." localSheetId="17">#REF!</definedName>
    <definedName name="LIN_DISTR_ELECT." localSheetId="14">'[1]PRES 1'!#REF!</definedName>
    <definedName name="LIN_DISTR_ELECT.">#REF!</definedName>
    <definedName name="SUBEST_ELECTR" localSheetId="15">'[1]PRES 1'!#REF!</definedName>
    <definedName name="SUBEST_ELECTR" localSheetId="17">#REF!</definedName>
    <definedName name="SUBEST_ELECTR" localSheetId="14">'[1]PRES 1'!#REF!</definedName>
    <definedName name="SUBEST_ELECT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41" l="1"/>
  <c r="C25" i="41" s="1"/>
  <c r="C32" i="41" s="1"/>
  <c r="U39" i="38"/>
  <c r="D8" i="38"/>
  <c r="F9" i="38"/>
  <c r="C3" i="40" s="1"/>
  <c r="F18" i="40" s="1"/>
  <c r="F59" i="8"/>
  <c r="F60" i="8"/>
  <c r="F32" i="31"/>
  <c r="D16" i="24" l="1"/>
  <c r="D11" i="24"/>
  <c r="D8" i="24"/>
  <c r="D6" i="24"/>
  <c r="C16" i="24"/>
  <c r="C11" i="24"/>
  <c r="C6" i="24"/>
  <c r="C8" i="24"/>
  <c r="C5" i="24"/>
  <c r="C7" i="24"/>
  <c r="C9" i="24" s="1"/>
  <c r="C12" i="24" l="1"/>
  <c r="C15" i="24" l="1"/>
  <c r="C17" i="24" l="1"/>
  <c r="D17" i="24" s="1"/>
  <c r="C9" i="41" l="1"/>
  <c r="L55" i="41"/>
  <c r="L54" i="41"/>
  <c r="L53" i="41"/>
  <c r="L52" i="41"/>
  <c r="L51" i="41"/>
  <c r="L56" i="41" s="1"/>
  <c r="L44" i="41"/>
  <c r="L45" i="41" s="1"/>
  <c r="L40" i="41"/>
  <c r="L39" i="41"/>
  <c r="L38" i="41"/>
  <c r="L36" i="41"/>
  <c r="L41" i="41" s="1"/>
  <c r="L28" i="41"/>
  <c r="L29" i="41" s="1"/>
  <c r="L24" i="41"/>
  <c r="L22" i="41"/>
  <c r="L21" i="41"/>
  <c r="L20" i="41"/>
  <c r="L19" i="41"/>
  <c r="L12" i="41"/>
  <c r="L11" i="41"/>
  <c r="L10" i="41"/>
  <c r="L9" i="41"/>
  <c r="L7" i="41"/>
  <c r="H26" i="41"/>
  <c r="H18" i="41"/>
  <c r="H27" i="41"/>
  <c r="G26" i="41"/>
  <c r="G25" i="41"/>
  <c r="G24" i="41"/>
  <c r="G23" i="41"/>
  <c r="G22" i="41"/>
  <c r="G15" i="41"/>
  <c r="G11" i="41"/>
  <c r="G10" i="41"/>
  <c r="G9" i="41"/>
  <c r="G7" i="41"/>
  <c r="C28" i="41"/>
  <c r="C29" i="41" s="1"/>
  <c r="C24" i="41"/>
  <c r="C22" i="41"/>
  <c r="C21" i="41"/>
  <c r="C20" i="41"/>
  <c r="C19" i="41"/>
  <c r="C12" i="41"/>
  <c r="C11" i="41"/>
  <c r="C10" i="41"/>
  <c r="C7" i="41"/>
  <c r="U38" i="38"/>
  <c r="U35" i="38"/>
  <c r="U36" i="38"/>
  <c r="U37" i="38"/>
  <c r="U34" i="38"/>
  <c r="C19" i="40"/>
  <c r="N19" i="40"/>
  <c r="J19" i="40"/>
  <c r="K18" i="40" s="1"/>
  <c r="B18" i="40" s="1"/>
  <c r="B28" i="40"/>
  <c r="C27" i="40" s="1"/>
  <c r="B36" i="40" s="1"/>
  <c r="K40" i="38"/>
  <c r="J40" i="38"/>
  <c r="K39" i="38"/>
  <c r="J39" i="38"/>
  <c r="N20" i="40"/>
  <c r="L47" i="41" l="1"/>
  <c r="M41" i="41"/>
  <c r="M55" i="41"/>
  <c r="M39" i="41"/>
  <c r="J20" i="40"/>
  <c r="O18" i="40"/>
  <c r="B29" i="40"/>
  <c r="L61" i="41" l="1"/>
  <c r="M47" i="41"/>
  <c r="B37" i="40"/>
  <c r="B35" i="40"/>
  <c r="B38" i="40" s="1"/>
  <c r="J35" i="38"/>
  <c r="T23" i="38"/>
  <c r="T24" i="38"/>
  <c r="T25" i="38"/>
  <c r="T27" i="38"/>
  <c r="T29" i="38"/>
  <c r="T30" i="38"/>
  <c r="T31" i="38"/>
  <c r="T32" i="38"/>
  <c r="U26" i="38"/>
  <c r="U27" i="38"/>
  <c r="U28" i="38"/>
  <c r="U29" i="38"/>
  <c r="U30" i="38"/>
  <c r="U31" i="38"/>
  <c r="T9" i="38"/>
  <c r="T12" i="38"/>
  <c r="T13" i="38"/>
  <c r="T15" i="38"/>
  <c r="T20" i="38"/>
  <c r="N34" i="38"/>
  <c r="O32" i="38"/>
  <c r="U32" i="38" s="1"/>
  <c r="O31" i="38"/>
  <c r="O29" i="38"/>
  <c r="O27" i="38"/>
  <c r="O23" i="38"/>
  <c r="U23" i="38" s="1"/>
  <c r="O24" i="38"/>
  <c r="U24" i="38" s="1"/>
  <c r="O25" i="38"/>
  <c r="U25" i="38" s="1"/>
  <c r="N22" i="38"/>
  <c r="T22" i="38" s="1"/>
  <c r="N18" i="38"/>
  <c r="T18" i="38" s="1"/>
  <c r="N19" i="38"/>
  <c r="T19" i="38" s="1"/>
  <c r="N20" i="38"/>
  <c r="N12" i="38"/>
  <c r="N13" i="38"/>
  <c r="N11" i="38"/>
  <c r="T11" i="38" s="1"/>
  <c r="N7" i="38"/>
  <c r="T7" i="38" s="1"/>
  <c r="L34" i="38"/>
  <c r="L28" i="38"/>
  <c r="L17" i="38"/>
  <c r="N17" i="38" s="1"/>
  <c r="T17" i="38" s="1"/>
  <c r="L16" i="38"/>
  <c r="N16" i="38" s="1"/>
  <c r="T16" i="38" s="1"/>
  <c r="L14" i="38"/>
  <c r="N14" i="38" s="1"/>
  <c r="T14" i="38" s="1"/>
  <c r="L8" i="38"/>
  <c r="L37" i="38"/>
  <c r="N37" i="38" s="1"/>
  <c r="L36" i="38"/>
  <c r="N36" i="38" s="1"/>
  <c r="L35" i="38"/>
  <c r="N35" i="38" s="1"/>
  <c r="L18" i="41" l="1"/>
  <c r="L25" i="41" s="1"/>
  <c r="M61" i="41"/>
  <c r="M56" i="41"/>
  <c r="G3" i="40" l="1"/>
  <c r="C4" i="40"/>
  <c r="F4" i="40"/>
  <c r="G4" i="40"/>
  <c r="C5" i="40"/>
  <c r="C6" i="40"/>
  <c r="C7" i="40"/>
  <c r="C8" i="40"/>
  <c r="C9" i="40"/>
  <c r="C10" i="40"/>
  <c r="C11" i="40"/>
  <c r="C12" i="40"/>
  <c r="B14" i="40"/>
  <c r="C18" i="40"/>
  <c r="R34" i="38"/>
  <c r="R35" i="38"/>
  <c r="G27" i="40"/>
  <c r="R37" i="38" s="1"/>
  <c r="D68" i="38"/>
  <c r="F69" i="38" s="1"/>
  <c r="D60" i="38"/>
  <c r="F61" i="38" s="1"/>
  <c r="F33" i="38"/>
  <c r="F5" i="38"/>
  <c r="M28" i="38" s="1"/>
  <c r="N28" i="38" s="1"/>
  <c r="T28" i="38" s="1"/>
  <c r="G16" i="41" s="1"/>
  <c r="M33" i="38" l="1"/>
  <c r="O33" i="38" s="1"/>
  <c r="C20" i="40"/>
  <c r="B19" i="40" s="1"/>
  <c r="C35" i="40" s="1"/>
  <c r="B39" i="40" s="1"/>
  <c r="C14" i="40"/>
  <c r="D52" i="38"/>
  <c r="F53" i="38" s="1"/>
  <c r="R36" i="38"/>
  <c r="D64" i="38"/>
  <c r="F65" i="38" s="1"/>
  <c r="B20" i="40" l="1"/>
  <c r="Q33" i="38" s="1"/>
  <c r="O40" i="38"/>
  <c r="G35" i="40"/>
  <c r="R39" i="38" s="1"/>
  <c r="D56" i="38"/>
  <c r="F57" i="38" s="1"/>
  <c r="R38" i="38" s="1"/>
  <c r="B40" i="40" l="1"/>
  <c r="Q38" i="38" s="1"/>
  <c r="D72" i="38"/>
  <c r="F73" i="38" s="1"/>
  <c r="J21" i="38"/>
  <c r="N21" i="38" s="1"/>
  <c r="T21" i="38" s="1"/>
  <c r="G27" i="41" l="1"/>
  <c r="U40" i="38"/>
  <c r="U22" i="32" l="1"/>
  <c r="V22" i="32"/>
  <c r="W22" i="32"/>
  <c r="X22" i="32"/>
  <c r="Y22" i="32"/>
  <c r="Z22" i="32"/>
  <c r="AA22" i="32"/>
  <c r="AA24" i="32" s="1"/>
  <c r="AB22" i="32"/>
  <c r="AC22" i="32"/>
  <c r="AD22" i="32"/>
  <c r="AE22" i="32"/>
  <c r="AF22" i="32"/>
  <c r="AF24" i="32" s="1"/>
  <c r="U23" i="32"/>
  <c r="U24" i="32" s="1"/>
  <c r="V23" i="32"/>
  <c r="W23" i="32"/>
  <c r="W24" i="32" s="1"/>
  <c r="X23" i="32"/>
  <c r="Y23" i="32"/>
  <c r="Z23" i="32"/>
  <c r="AA23" i="32"/>
  <c r="AB23" i="32"/>
  <c r="AC23" i="32"/>
  <c r="AD23" i="32"/>
  <c r="AE23" i="32"/>
  <c r="AF23" i="32"/>
  <c r="N22" i="32"/>
  <c r="O22" i="32"/>
  <c r="P22" i="32"/>
  <c r="Q22" i="32"/>
  <c r="R22" i="32"/>
  <c r="S22" i="32"/>
  <c r="T22" i="32"/>
  <c r="T24" i="32" s="1"/>
  <c r="N23" i="32"/>
  <c r="O23" i="32"/>
  <c r="P23" i="32"/>
  <c r="Q23" i="32"/>
  <c r="R23" i="32"/>
  <c r="S23" i="32"/>
  <c r="T23" i="32"/>
  <c r="E18" i="18"/>
  <c r="E19" i="18"/>
  <c r="E20" i="18"/>
  <c r="E21" i="18"/>
  <c r="E22" i="18"/>
  <c r="E17" i="18"/>
  <c r="E9" i="18"/>
  <c r="E10" i="18"/>
  <c r="E11" i="18"/>
  <c r="E12" i="18"/>
  <c r="E8" i="18"/>
  <c r="V24" i="32" l="1"/>
  <c r="R24" i="32"/>
  <c r="AC24" i="32"/>
  <c r="AD24" i="32"/>
  <c r="AE24" i="32"/>
  <c r="X24" i="32"/>
  <c r="P24" i="32"/>
  <c r="S24" i="32"/>
  <c r="O24" i="32"/>
  <c r="Q24" i="32"/>
  <c r="N24" i="32"/>
  <c r="AB24" i="32"/>
  <c r="Z24" i="32"/>
  <c r="Y24" i="32"/>
  <c r="E57" i="8" l="1"/>
  <c r="E56" i="8"/>
  <c r="E55" i="8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6" i="8"/>
  <c r="F36" i="8" s="1"/>
  <c r="E35" i="8"/>
  <c r="F35" i="8" s="1"/>
  <c r="E33" i="8"/>
  <c r="F33" i="8" s="1"/>
  <c r="E32" i="8"/>
  <c r="F32" i="8" s="1"/>
  <c r="E31" i="8"/>
  <c r="F31" i="8" s="1"/>
  <c r="E30" i="8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F16" i="8"/>
  <c r="E15" i="8"/>
  <c r="F15" i="8" s="1"/>
  <c r="E14" i="8"/>
  <c r="F14" i="8" s="1"/>
  <c r="E13" i="8"/>
  <c r="J4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A27" i="36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B44" i="31"/>
  <c r="E41" i="31"/>
  <c r="G41" i="31" s="1"/>
  <c r="H37" i="31"/>
  <c r="F35" i="31"/>
  <c r="F31" i="31"/>
  <c r="F30" i="31"/>
  <c r="G30" i="31" s="1"/>
  <c r="B23" i="18" s="1"/>
  <c r="F29" i="31"/>
  <c r="F28" i="31"/>
  <c r="G28" i="31" s="1"/>
  <c r="F27" i="31"/>
  <c r="G27" i="31" s="1"/>
  <c r="F26" i="31"/>
  <c r="G26" i="31" s="1"/>
  <c r="F25" i="31"/>
  <c r="G25" i="31" s="1"/>
  <c r="F24" i="31"/>
  <c r="G24" i="31" s="1"/>
  <c r="F23" i="31"/>
  <c r="G23" i="31" s="1"/>
  <c r="G22" i="31"/>
  <c r="F21" i="31"/>
  <c r="G21" i="31" s="1"/>
  <c r="F20" i="31"/>
  <c r="G20" i="31" s="1"/>
  <c r="F19" i="31"/>
  <c r="H19" i="31" s="1"/>
  <c r="H32" i="31" s="1"/>
  <c r="F18" i="31"/>
  <c r="E9" i="31"/>
  <c r="E27" i="8" l="1"/>
  <c r="F36" i="31"/>
  <c r="E58" i="8"/>
  <c r="E59" i="8" s="1"/>
  <c r="G31" i="31"/>
  <c r="B24" i="18"/>
  <c r="E60" i="8"/>
  <c r="E23" i="18"/>
  <c r="B25" i="18"/>
  <c r="G29" i="31"/>
  <c r="B13" i="18"/>
  <c r="F37" i="31"/>
  <c r="F27" i="8"/>
  <c r="G13" i="8"/>
  <c r="G27" i="8" s="1"/>
  <c r="G59" i="8" s="1"/>
  <c r="F30" i="8"/>
  <c r="F58" i="8" s="1"/>
  <c r="D10" i="31"/>
  <c r="D12" i="31" s="1"/>
  <c r="F42" i="31"/>
  <c r="F44" i="31" s="1"/>
  <c r="G35" i="31"/>
  <c r="G37" i="31" s="1"/>
  <c r="G32" i="31" l="1"/>
  <c r="E42" i="31" s="1"/>
  <c r="G42" i="31" s="1"/>
  <c r="B14" i="18"/>
  <c r="E13" i="18"/>
  <c r="E24" i="18"/>
  <c r="C11" i="31"/>
  <c r="E11" i="31" s="1"/>
  <c r="E43" i="31"/>
  <c r="G43" i="31" s="1"/>
  <c r="E26" i="18" l="1"/>
  <c r="C10" i="31"/>
  <c r="F24" i="18"/>
  <c r="G24" i="18"/>
  <c r="H24" i="18" s="1"/>
  <c r="G44" i="31"/>
  <c r="E44" i="31"/>
  <c r="C12" i="31"/>
  <c r="J5" i="36" l="1"/>
  <c r="E10" i="31"/>
  <c r="E12" i="31" s="1"/>
  <c r="D13" i="31" s="1"/>
  <c r="E45" i="31"/>
  <c r="B41" i="31"/>
  <c r="H41" i="31"/>
  <c r="F45" i="31"/>
  <c r="H42" i="31"/>
  <c r="H43" i="31"/>
  <c r="C13" i="31" l="1"/>
  <c r="E13" i="31" s="1"/>
  <c r="F12" i="36"/>
  <c r="F18" i="36"/>
  <c r="F24" i="36"/>
  <c r="F30" i="36"/>
  <c r="F16" i="36"/>
  <c r="F17" i="36"/>
  <c r="F41" i="36"/>
  <c r="F36" i="36"/>
  <c r="F42" i="36"/>
  <c r="F15" i="36"/>
  <c r="F13" i="36"/>
  <c r="F19" i="36"/>
  <c r="F25" i="36"/>
  <c r="F10" i="36"/>
  <c r="F28" i="36"/>
  <c r="F34" i="36"/>
  <c r="F40" i="36"/>
  <c r="F23" i="36"/>
  <c r="F31" i="36"/>
  <c r="F37" i="36"/>
  <c r="F43" i="36"/>
  <c r="F9" i="36"/>
  <c r="F33" i="36"/>
  <c r="F39" i="36"/>
  <c r="F35" i="36"/>
  <c r="F14" i="36"/>
  <c r="F20" i="36"/>
  <c r="F26" i="36"/>
  <c r="F22" i="36"/>
  <c r="F32" i="36"/>
  <c r="F38" i="36"/>
  <c r="F44" i="36"/>
  <c r="F27" i="36"/>
  <c r="F21" i="36"/>
  <c r="F11" i="36"/>
  <c r="F29" i="36"/>
  <c r="D9" i="36"/>
  <c r="G9" i="36" s="1"/>
  <c r="E9" i="36"/>
  <c r="F45" i="36" l="1"/>
  <c r="H9" i="36"/>
  <c r="I9" i="36" s="1"/>
  <c r="D10" i="36" l="1"/>
  <c r="G10" i="36" s="1"/>
  <c r="H10" i="36" s="1"/>
  <c r="I10" i="36"/>
  <c r="E10" i="36"/>
  <c r="I11" i="36" l="1"/>
  <c r="D11" i="36"/>
  <c r="G11" i="36" s="1"/>
  <c r="H11" i="36" s="1"/>
  <c r="E11" i="36"/>
  <c r="I12" i="36" l="1"/>
  <c r="D12" i="36"/>
  <c r="G12" i="36" s="1"/>
  <c r="H12" i="36" s="1"/>
  <c r="E12" i="36"/>
  <c r="I13" i="36" l="1"/>
  <c r="D13" i="36"/>
  <c r="G13" i="36" s="1"/>
  <c r="H13" i="36" s="1"/>
  <c r="E13" i="36"/>
  <c r="D14" i="36" l="1"/>
  <c r="G14" i="36" s="1"/>
  <c r="H14" i="36" s="1"/>
  <c r="I14" i="36"/>
  <c r="E14" i="36" l="1"/>
  <c r="I15" i="36"/>
  <c r="D15" i="36"/>
  <c r="G15" i="36" s="1"/>
  <c r="H15" i="36" s="1"/>
  <c r="E15" i="36"/>
  <c r="D16" i="36" l="1"/>
  <c r="G16" i="36" s="1"/>
  <c r="H16" i="36" s="1"/>
  <c r="I16" i="36"/>
  <c r="I17" i="36" l="1"/>
  <c r="D17" i="36"/>
  <c r="G17" i="36" s="1"/>
  <c r="H17" i="36" s="1"/>
  <c r="E16" i="36"/>
  <c r="E17" i="36" l="1"/>
  <c r="D18" i="36"/>
  <c r="G18" i="36" s="1"/>
  <c r="H18" i="36" s="1"/>
  <c r="E18" i="36"/>
  <c r="I18" i="36"/>
  <c r="D19" i="36" l="1"/>
  <c r="G19" i="36" s="1"/>
  <c r="H19" i="36" s="1"/>
  <c r="I19" i="36"/>
  <c r="E19" i="36"/>
  <c r="D20" i="36" l="1"/>
  <c r="G20" i="36" s="1"/>
  <c r="H20" i="36" s="1"/>
  <c r="B49" i="36" s="1"/>
  <c r="E20" i="36"/>
  <c r="I20" i="36"/>
  <c r="I21" i="36" l="1"/>
  <c r="D21" i="36"/>
  <c r="G21" i="36" s="1"/>
  <c r="H21" i="36" s="1"/>
  <c r="E21" i="36" l="1"/>
  <c r="I22" i="36"/>
  <c r="D22" i="36"/>
  <c r="G22" i="36" s="1"/>
  <c r="H22" i="36" s="1"/>
  <c r="E22" i="36"/>
  <c r="D23" i="36" l="1"/>
  <c r="G23" i="36" s="1"/>
  <c r="H23" i="36" s="1"/>
  <c r="I23" i="36"/>
  <c r="E23" i="36"/>
  <c r="D24" i="36" l="1"/>
  <c r="G24" i="36" s="1"/>
  <c r="H24" i="36" s="1"/>
  <c r="I24" i="36"/>
  <c r="E24" i="36" l="1"/>
  <c r="I25" i="36"/>
  <c r="D25" i="36"/>
  <c r="G25" i="36" s="1"/>
  <c r="H25" i="36" s="1"/>
  <c r="E25" i="36"/>
  <c r="D26" i="36" l="1"/>
  <c r="G26" i="36" s="1"/>
  <c r="H26" i="36" s="1"/>
  <c r="I26" i="36"/>
  <c r="E26" i="36"/>
  <c r="I27" i="36" l="1"/>
  <c r="D27" i="36"/>
  <c r="G27" i="36" s="1"/>
  <c r="H27" i="36" s="1"/>
  <c r="E27" i="36"/>
  <c r="D28" i="36" l="1"/>
  <c r="G28" i="36" s="1"/>
  <c r="H28" i="36" s="1"/>
  <c r="I28" i="36"/>
  <c r="E28" i="36"/>
  <c r="D29" i="36" l="1"/>
  <c r="G29" i="36" s="1"/>
  <c r="H29" i="36" s="1"/>
  <c r="E29" i="36"/>
  <c r="I29" i="36"/>
  <c r="I30" i="36" l="1"/>
  <c r="D30" i="36"/>
  <c r="G30" i="36" s="1"/>
  <c r="H30" i="36" s="1"/>
  <c r="E30" i="36" l="1"/>
  <c r="D31" i="36"/>
  <c r="G31" i="36" s="1"/>
  <c r="H31" i="36" s="1"/>
  <c r="E31" i="36"/>
  <c r="I31" i="36"/>
  <c r="D32" i="36" l="1"/>
  <c r="G32" i="36" s="1"/>
  <c r="H32" i="36" s="1"/>
  <c r="I32" i="36"/>
  <c r="E32" i="36"/>
  <c r="I33" i="36" l="1"/>
  <c r="D33" i="36"/>
  <c r="G33" i="36" s="1"/>
  <c r="H33" i="36" s="1"/>
  <c r="E33" i="36" l="1"/>
  <c r="D34" i="36"/>
  <c r="G34" i="36" s="1"/>
  <c r="H34" i="36" s="1"/>
  <c r="I34" i="36"/>
  <c r="E34" i="36"/>
  <c r="D35" i="36" l="1"/>
  <c r="G35" i="36" s="1"/>
  <c r="H35" i="36" s="1"/>
  <c r="I35" i="36"/>
  <c r="E35" i="36"/>
  <c r="I36" i="36" l="1"/>
  <c r="D36" i="36"/>
  <c r="G36" i="36" s="1"/>
  <c r="H36" i="36" s="1"/>
  <c r="D37" i="36" l="1"/>
  <c r="G37" i="36" s="1"/>
  <c r="H37" i="36" s="1"/>
  <c r="E37" i="36"/>
  <c r="I37" i="36"/>
  <c r="E36" i="36"/>
  <c r="D38" i="36" l="1"/>
  <c r="G38" i="36" s="1"/>
  <c r="H38" i="36" s="1"/>
  <c r="I38" i="36"/>
  <c r="E38" i="36"/>
  <c r="I39" i="36" l="1"/>
  <c r="D39" i="36"/>
  <c r="G39" i="36" s="1"/>
  <c r="H39" i="36" s="1"/>
  <c r="D40" i="36" l="1"/>
  <c r="G40" i="36" s="1"/>
  <c r="H40" i="36" s="1"/>
  <c r="I40" i="36"/>
  <c r="E40" i="36"/>
  <c r="E39" i="36"/>
  <c r="K11" i="34"/>
  <c r="H11" i="34"/>
  <c r="E25" i="29"/>
  <c r="I22" i="32"/>
  <c r="J22" i="32"/>
  <c r="K22" i="32"/>
  <c r="L22" i="32"/>
  <c r="M22" i="32"/>
  <c r="I23" i="32"/>
  <c r="J23" i="32"/>
  <c r="K23" i="32"/>
  <c r="L23" i="32"/>
  <c r="M23" i="32"/>
  <c r="L81" i="34"/>
  <c r="F61" i="34"/>
  <c r="B11" i="34"/>
  <c r="G11" i="34"/>
  <c r="E11" i="34"/>
  <c r="I11" i="34"/>
  <c r="Q70" i="34"/>
  <c r="R70" i="34" s="1"/>
  <c r="S70" i="34" s="1"/>
  <c r="T70" i="34" s="1"/>
  <c r="I92" i="34" s="1"/>
  <c r="Q71" i="34"/>
  <c r="R71" i="34" s="1"/>
  <c r="S71" i="34" s="1"/>
  <c r="T71" i="34" s="1"/>
  <c r="J93" i="34" s="1"/>
  <c r="Q72" i="34"/>
  <c r="R72" i="34" s="1"/>
  <c r="S72" i="34" s="1"/>
  <c r="T72" i="34" s="1"/>
  <c r="K94" i="34" s="1"/>
  <c r="Q73" i="34"/>
  <c r="R73" i="34" s="1"/>
  <c r="S73" i="34" s="1"/>
  <c r="T73" i="34" s="1"/>
  <c r="L95" i="34" s="1"/>
  <c r="Q74" i="34"/>
  <c r="R74" i="34" s="1"/>
  <c r="S74" i="34" s="1"/>
  <c r="T74" i="34" s="1"/>
  <c r="M96" i="34" s="1"/>
  <c r="Q75" i="34"/>
  <c r="R75" i="34" s="1"/>
  <c r="S75" i="34" s="1"/>
  <c r="T75" i="34" s="1"/>
  <c r="B97" i="34" s="1"/>
  <c r="Q76" i="34"/>
  <c r="R76" i="34" s="1"/>
  <c r="S76" i="34" s="1"/>
  <c r="T76" i="34" s="1"/>
  <c r="C98" i="34" s="1"/>
  <c r="Q77" i="34"/>
  <c r="R77" i="34" s="1"/>
  <c r="S77" i="34" s="1"/>
  <c r="T77" i="34" s="1"/>
  <c r="D99" i="34" s="1"/>
  <c r="Q78" i="34"/>
  <c r="R78" i="34" s="1"/>
  <c r="S78" i="34" s="1"/>
  <c r="T78" i="34" s="1"/>
  <c r="E100" i="34" s="1"/>
  <c r="Q79" i="34"/>
  <c r="R79" i="34" s="1"/>
  <c r="S79" i="34" s="1"/>
  <c r="T79" i="34" s="1"/>
  <c r="F101" i="34" s="1"/>
  <c r="Q80" i="34"/>
  <c r="R80" i="34" s="1"/>
  <c r="S80" i="34" s="1"/>
  <c r="T80" i="34" s="1"/>
  <c r="G102" i="34" s="1"/>
  <c r="Q81" i="34"/>
  <c r="R81" i="34" s="1"/>
  <c r="S81" i="34" s="1"/>
  <c r="T81" i="34" s="1"/>
  <c r="H103" i="34" s="1"/>
  <c r="Q69" i="34"/>
  <c r="B31" i="34" s="1"/>
  <c r="M19" i="34"/>
  <c r="M17" i="34"/>
  <c r="L23" i="34"/>
  <c r="M23" i="34"/>
  <c r="K23" i="34"/>
  <c r="J23" i="34"/>
  <c r="I23" i="34"/>
  <c r="H23" i="34"/>
  <c r="F23" i="34"/>
  <c r="G23" i="34"/>
  <c r="E23" i="34"/>
  <c r="C23" i="34"/>
  <c r="D23" i="34"/>
  <c r="B23" i="34"/>
  <c r="L22" i="34"/>
  <c r="M22" i="34"/>
  <c r="K22" i="34"/>
  <c r="I22" i="34"/>
  <c r="J22" i="34"/>
  <c r="H22" i="34"/>
  <c r="E22" i="34"/>
  <c r="F22" i="34"/>
  <c r="G22" i="34"/>
  <c r="C22" i="34"/>
  <c r="D22" i="34"/>
  <c r="B22" i="34"/>
  <c r="L21" i="34"/>
  <c r="M21" i="34"/>
  <c r="K21" i="34"/>
  <c r="I21" i="34"/>
  <c r="J21" i="34"/>
  <c r="H21" i="34"/>
  <c r="F21" i="34"/>
  <c r="G21" i="34"/>
  <c r="E21" i="34"/>
  <c r="C21" i="34"/>
  <c r="D21" i="34"/>
  <c r="B21" i="34"/>
  <c r="K20" i="34"/>
  <c r="L20" i="34"/>
  <c r="M20" i="34"/>
  <c r="I20" i="34"/>
  <c r="J20" i="34"/>
  <c r="H20" i="34"/>
  <c r="F20" i="34"/>
  <c r="G20" i="34"/>
  <c r="E20" i="34"/>
  <c r="C20" i="34"/>
  <c r="D20" i="34"/>
  <c r="B20" i="34"/>
  <c r="C19" i="34"/>
  <c r="D19" i="34"/>
  <c r="E19" i="34"/>
  <c r="F19" i="34"/>
  <c r="G19" i="34"/>
  <c r="H19" i="34"/>
  <c r="I19" i="34"/>
  <c r="J19" i="34"/>
  <c r="K19" i="34"/>
  <c r="L19" i="34"/>
  <c r="B19" i="34"/>
  <c r="C18" i="34"/>
  <c r="D18" i="34"/>
  <c r="E18" i="34"/>
  <c r="F18" i="34"/>
  <c r="G18" i="34"/>
  <c r="H18" i="34"/>
  <c r="I18" i="34"/>
  <c r="J18" i="34"/>
  <c r="K18" i="34"/>
  <c r="L18" i="34"/>
  <c r="M18" i="34"/>
  <c r="B18" i="34"/>
  <c r="L17" i="34"/>
  <c r="K17" i="34"/>
  <c r="C17" i="34"/>
  <c r="D17" i="34"/>
  <c r="E17" i="34"/>
  <c r="F17" i="34"/>
  <c r="G17" i="34"/>
  <c r="H17" i="34"/>
  <c r="I17" i="34"/>
  <c r="J17" i="34"/>
  <c r="B17" i="34"/>
  <c r="I16" i="34"/>
  <c r="J16" i="34"/>
  <c r="K16" i="34"/>
  <c r="L16" i="34"/>
  <c r="M16" i="34"/>
  <c r="H16" i="34"/>
  <c r="C16" i="34"/>
  <c r="D16" i="34"/>
  <c r="E16" i="34"/>
  <c r="F16" i="34"/>
  <c r="G16" i="34"/>
  <c r="B16" i="34"/>
  <c r="C15" i="34"/>
  <c r="D15" i="34"/>
  <c r="E15" i="34"/>
  <c r="F15" i="34"/>
  <c r="G15" i="34"/>
  <c r="H15" i="34"/>
  <c r="I15" i="34"/>
  <c r="J15" i="34"/>
  <c r="K15" i="34"/>
  <c r="L15" i="34"/>
  <c r="M15" i="34"/>
  <c r="B15" i="34"/>
  <c r="L14" i="34"/>
  <c r="M14" i="34"/>
  <c r="K14" i="34"/>
  <c r="I14" i="34"/>
  <c r="J14" i="34"/>
  <c r="H14" i="34"/>
  <c r="F14" i="34"/>
  <c r="G14" i="34"/>
  <c r="E14" i="34"/>
  <c r="C14" i="34"/>
  <c r="D14" i="34"/>
  <c r="B14" i="34"/>
  <c r="L13" i="34"/>
  <c r="M13" i="34"/>
  <c r="K13" i="34"/>
  <c r="I13" i="34"/>
  <c r="J13" i="34"/>
  <c r="H13" i="34"/>
  <c r="F13" i="34"/>
  <c r="G13" i="34"/>
  <c r="E13" i="34"/>
  <c r="C13" i="34"/>
  <c r="D13" i="34"/>
  <c r="B13" i="34"/>
  <c r="L12" i="34"/>
  <c r="M12" i="34"/>
  <c r="I12" i="34"/>
  <c r="J12" i="34"/>
  <c r="F12" i="34"/>
  <c r="G12" i="34"/>
  <c r="C12" i="34"/>
  <c r="D12" i="34"/>
  <c r="L11" i="34"/>
  <c r="M11" i="34"/>
  <c r="J11" i="34"/>
  <c r="F11" i="34"/>
  <c r="D11" i="34"/>
  <c r="K12" i="34"/>
  <c r="H12" i="34"/>
  <c r="E12" i="34"/>
  <c r="B12" i="34"/>
  <c r="C11" i="34"/>
  <c r="H23" i="32"/>
  <c r="H22" i="32"/>
  <c r="C22" i="32"/>
  <c r="F10" i="32"/>
  <c r="H10" i="32" s="1"/>
  <c r="F13" i="32"/>
  <c r="F14" i="32"/>
  <c r="H16" i="32"/>
  <c r="B22" i="32"/>
  <c r="D22" i="32"/>
  <c r="E22" i="32"/>
  <c r="F22" i="32"/>
  <c r="B23" i="32"/>
  <c r="C23" i="32"/>
  <c r="D23" i="32"/>
  <c r="E23" i="32"/>
  <c r="F23" i="32"/>
  <c r="E74" i="34" l="1"/>
  <c r="M97" i="34"/>
  <c r="L97" i="34"/>
  <c r="L77" i="34"/>
  <c r="L96" i="34"/>
  <c r="H61" i="34"/>
  <c r="G61" i="34"/>
  <c r="H73" i="34"/>
  <c r="E81" i="34"/>
  <c r="G73" i="34"/>
  <c r="D81" i="34"/>
  <c r="J41" i="34"/>
  <c r="C81" i="34"/>
  <c r="I41" i="34"/>
  <c r="H41" i="34"/>
  <c r="K77" i="34"/>
  <c r="N13" i="34"/>
  <c r="E41" i="34"/>
  <c r="H77" i="34"/>
  <c r="I73" i="34"/>
  <c r="D34" i="34"/>
  <c r="I74" i="34"/>
  <c r="G33" i="34"/>
  <c r="H74" i="34"/>
  <c r="K97" i="34"/>
  <c r="C24" i="34"/>
  <c r="D12" i="9" s="1"/>
  <c r="K76" i="34"/>
  <c r="J96" i="34"/>
  <c r="L76" i="34"/>
  <c r="H24" i="34"/>
  <c r="I12" i="9" s="1"/>
  <c r="J60" i="34"/>
  <c r="F40" i="34"/>
  <c r="M59" i="34"/>
  <c r="D80" i="34"/>
  <c r="G76" i="34"/>
  <c r="B98" i="34"/>
  <c r="J76" i="34"/>
  <c r="E40" i="34"/>
  <c r="I59" i="34"/>
  <c r="C80" i="34"/>
  <c r="K75" i="34"/>
  <c r="B100" i="34"/>
  <c r="I24" i="34"/>
  <c r="J12" i="9" s="1"/>
  <c r="B24" i="34"/>
  <c r="C12" i="9" s="1"/>
  <c r="D40" i="34"/>
  <c r="H59" i="34"/>
  <c r="M78" i="34"/>
  <c r="J75" i="34"/>
  <c r="D100" i="34"/>
  <c r="N12" i="34"/>
  <c r="G40" i="34"/>
  <c r="J24" i="34"/>
  <c r="K12" i="9" s="1"/>
  <c r="G37" i="34"/>
  <c r="C53" i="34"/>
  <c r="L78" i="34"/>
  <c r="I75" i="34"/>
  <c r="C100" i="34"/>
  <c r="B80" i="34"/>
  <c r="K80" i="34"/>
  <c r="F36" i="34"/>
  <c r="B78" i="34"/>
  <c r="I78" i="34"/>
  <c r="F75" i="34"/>
  <c r="M98" i="34"/>
  <c r="I41" i="36"/>
  <c r="D41" i="36"/>
  <c r="E41" i="36" s="1"/>
  <c r="E35" i="34"/>
  <c r="B79" i="34"/>
  <c r="M77" i="34"/>
  <c r="J74" i="34"/>
  <c r="L98" i="34"/>
  <c r="J24" i="32"/>
  <c r="I24" i="32"/>
  <c r="G24" i="34"/>
  <c r="H12" i="9" s="1"/>
  <c r="K43" i="34"/>
  <c r="F32" i="34"/>
  <c r="L63" i="34"/>
  <c r="G83" i="34"/>
  <c r="F82" i="34"/>
  <c r="C79" i="34"/>
  <c r="H72" i="34"/>
  <c r="G103" i="34"/>
  <c r="F102" i="34"/>
  <c r="E101" i="34"/>
  <c r="C99" i="34"/>
  <c r="K95" i="34"/>
  <c r="J94" i="34"/>
  <c r="I93" i="34"/>
  <c r="H92" i="34"/>
  <c r="J43" i="34"/>
  <c r="M31" i="34"/>
  <c r="K63" i="34"/>
  <c r="M52" i="34"/>
  <c r="F83" i="34"/>
  <c r="E82" i="34"/>
  <c r="G72" i="34"/>
  <c r="B99" i="34"/>
  <c r="F103" i="34"/>
  <c r="E102" i="34"/>
  <c r="D101" i="34"/>
  <c r="K96" i="34"/>
  <c r="J95" i="34"/>
  <c r="I94" i="34"/>
  <c r="H93" i="34"/>
  <c r="G92" i="34"/>
  <c r="I43" i="34"/>
  <c r="L31" i="34"/>
  <c r="J63" i="34"/>
  <c r="L52" i="34"/>
  <c r="E83" i="34"/>
  <c r="D82" i="34"/>
  <c r="M79" i="34"/>
  <c r="F72" i="34"/>
  <c r="E103" i="34"/>
  <c r="D102" i="34"/>
  <c r="C101" i="34"/>
  <c r="M99" i="34"/>
  <c r="I95" i="34"/>
  <c r="H94" i="34"/>
  <c r="G93" i="34"/>
  <c r="F92" i="34"/>
  <c r="H43" i="34"/>
  <c r="G41" i="34"/>
  <c r="M39" i="34"/>
  <c r="M33" i="34"/>
  <c r="K31" i="34"/>
  <c r="I63" i="34"/>
  <c r="E61" i="34"/>
  <c r="G59" i="34"/>
  <c r="K52" i="34"/>
  <c r="B81" i="34"/>
  <c r="D83" i="34"/>
  <c r="C82" i="34"/>
  <c r="M80" i="34"/>
  <c r="L79" i="34"/>
  <c r="K78" i="34"/>
  <c r="J77" i="34"/>
  <c r="I76" i="34"/>
  <c r="H75" i="34"/>
  <c r="G74" i="34"/>
  <c r="F73" i="34"/>
  <c r="E72" i="34"/>
  <c r="B101" i="34"/>
  <c r="D103" i="34"/>
  <c r="C102" i="34"/>
  <c r="M100" i="34"/>
  <c r="L99" i="34"/>
  <c r="K98" i="34"/>
  <c r="J97" i="34"/>
  <c r="I96" i="34"/>
  <c r="H95" i="34"/>
  <c r="G94" i="34"/>
  <c r="F93" i="34"/>
  <c r="E92" i="34"/>
  <c r="N11" i="34"/>
  <c r="G43" i="34"/>
  <c r="F41" i="34"/>
  <c r="I39" i="34"/>
  <c r="L33" i="34"/>
  <c r="J31" i="34"/>
  <c r="H63" i="34"/>
  <c r="C61" i="34"/>
  <c r="F59" i="34"/>
  <c r="F52" i="34"/>
  <c r="B82" i="34"/>
  <c r="C83" i="34"/>
  <c r="M81" i="34"/>
  <c r="L80" i="34"/>
  <c r="K79" i="34"/>
  <c r="J78" i="34"/>
  <c r="I77" i="34"/>
  <c r="H76" i="34"/>
  <c r="G75" i="34"/>
  <c r="F74" i="34"/>
  <c r="E73" i="34"/>
  <c r="D72" i="34"/>
  <c r="B102" i="34"/>
  <c r="C103" i="34"/>
  <c r="M101" i="34"/>
  <c r="L100" i="34"/>
  <c r="K99" i="34"/>
  <c r="J98" i="34"/>
  <c r="I97" i="34"/>
  <c r="H96" i="34"/>
  <c r="G95" i="34"/>
  <c r="F94" i="34"/>
  <c r="E93" i="34"/>
  <c r="D92" i="34"/>
  <c r="B32" i="34"/>
  <c r="E43" i="34"/>
  <c r="H39" i="34"/>
  <c r="I31" i="34"/>
  <c r="G63" i="34"/>
  <c r="E59" i="34"/>
  <c r="B83" i="34"/>
  <c r="M82" i="34"/>
  <c r="J79" i="34"/>
  <c r="D73" i="34"/>
  <c r="C72" i="34"/>
  <c r="B103" i="34"/>
  <c r="M102" i="34"/>
  <c r="L101" i="34"/>
  <c r="K100" i="34"/>
  <c r="J99" i="34"/>
  <c r="I98" i="34"/>
  <c r="H97" i="34"/>
  <c r="G96" i="34"/>
  <c r="F95" i="34"/>
  <c r="E94" i="34"/>
  <c r="D93" i="34"/>
  <c r="C92" i="34"/>
  <c r="B33" i="34"/>
  <c r="L42" i="34"/>
  <c r="D41" i="34"/>
  <c r="G39" i="34"/>
  <c r="C33" i="34"/>
  <c r="H31" i="34"/>
  <c r="E63" i="34"/>
  <c r="I60" i="34"/>
  <c r="D59" i="34"/>
  <c r="B72" i="34"/>
  <c r="M83" i="34"/>
  <c r="L82" i="34"/>
  <c r="K81" i="34"/>
  <c r="J80" i="34"/>
  <c r="I79" i="34"/>
  <c r="H78" i="34"/>
  <c r="G77" i="34"/>
  <c r="F76" i="34"/>
  <c r="E75" i="34"/>
  <c r="D74" i="34"/>
  <c r="C73" i="34"/>
  <c r="B92" i="34"/>
  <c r="M103" i="34"/>
  <c r="L102" i="34"/>
  <c r="K101" i="34"/>
  <c r="J100" i="34"/>
  <c r="I99" i="34"/>
  <c r="H98" i="34"/>
  <c r="G97" i="34"/>
  <c r="F96" i="34"/>
  <c r="E95" i="34"/>
  <c r="D94" i="34"/>
  <c r="C93" i="34"/>
  <c r="B36" i="34"/>
  <c r="K42" i="34"/>
  <c r="C41" i="34"/>
  <c r="F39" i="34"/>
  <c r="M32" i="34"/>
  <c r="E31" i="34"/>
  <c r="L62" i="34"/>
  <c r="H60" i="34"/>
  <c r="C59" i="34"/>
  <c r="B73" i="34"/>
  <c r="L83" i="34"/>
  <c r="K82" i="34"/>
  <c r="J81" i="34"/>
  <c r="I80" i="34"/>
  <c r="H79" i="34"/>
  <c r="G78" i="34"/>
  <c r="F77" i="34"/>
  <c r="E76" i="34"/>
  <c r="D75" i="34"/>
  <c r="C74" i="34"/>
  <c r="M72" i="34"/>
  <c r="B93" i="34"/>
  <c r="L103" i="34"/>
  <c r="K102" i="34"/>
  <c r="J101" i="34"/>
  <c r="I100" i="34"/>
  <c r="H99" i="34"/>
  <c r="G98" i="34"/>
  <c r="F97" i="34"/>
  <c r="E96" i="34"/>
  <c r="D95" i="34"/>
  <c r="C94" i="34"/>
  <c r="M92" i="34"/>
  <c r="H13" i="32"/>
  <c r="J13" i="32" s="1"/>
  <c r="B39" i="34"/>
  <c r="J42" i="34"/>
  <c r="J40" i="34"/>
  <c r="E39" i="34"/>
  <c r="L32" i="34"/>
  <c r="B59" i="34"/>
  <c r="K62" i="34"/>
  <c r="G60" i="34"/>
  <c r="G57" i="34"/>
  <c r="B74" i="34"/>
  <c r="K83" i="34"/>
  <c r="J82" i="34"/>
  <c r="I81" i="34"/>
  <c r="H80" i="34"/>
  <c r="G79" i="34"/>
  <c r="F78" i="34"/>
  <c r="E77" i="34"/>
  <c r="D76" i="34"/>
  <c r="C75" i="34"/>
  <c r="M73" i="34"/>
  <c r="L72" i="34"/>
  <c r="B94" i="34"/>
  <c r="K103" i="34"/>
  <c r="J102" i="34"/>
  <c r="I101" i="34"/>
  <c r="H100" i="34"/>
  <c r="G99" i="34"/>
  <c r="F98" i="34"/>
  <c r="E97" i="34"/>
  <c r="D96" i="34"/>
  <c r="C95" i="34"/>
  <c r="M93" i="34"/>
  <c r="L92" i="34"/>
  <c r="M24" i="34"/>
  <c r="N12" i="9" s="1"/>
  <c r="B40" i="34"/>
  <c r="I42" i="34"/>
  <c r="I40" i="34"/>
  <c r="D39" i="34"/>
  <c r="K32" i="34"/>
  <c r="B52" i="34"/>
  <c r="K61" i="34"/>
  <c r="F60" i="34"/>
  <c r="F56" i="34"/>
  <c r="B75" i="34"/>
  <c r="J83" i="34"/>
  <c r="I82" i="34"/>
  <c r="H81" i="34"/>
  <c r="G80" i="34"/>
  <c r="F79" i="34"/>
  <c r="E78" i="34"/>
  <c r="D77" i="34"/>
  <c r="C76" i="34"/>
  <c r="M74" i="34"/>
  <c r="L73" i="34"/>
  <c r="K72" i="34"/>
  <c r="B95" i="34"/>
  <c r="J103" i="34"/>
  <c r="I102" i="34"/>
  <c r="H101" i="34"/>
  <c r="G100" i="34"/>
  <c r="F99" i="34"/>
  <c r="E98" i="34"/>
  <c r="D97" i="34"/>
  <c r="C96" i="34"/>
  <c r="M94" i="34"/>
  <c r="L93" i="34"/>
  <c r="K92" i="34"/>
  <c r="M43" i="34"/>
  <c r="H42" i="34"/>
  <c r="H40" i="34"/>
  <c r="C39" i="34"/>
  <c r="J32" i="34"/>
  <c r="B60" i="34"/>
  <c r="J61" i="34"/>
  <c r="E60" i="34"/>
  <c r="E55" i="34"/>
  <c r="B76" i="34"/>
  <c r="I83" i="34"/>
  <c r="H82" i="34"/>
  <c r="G81" i="34"/>
  <c r="F80" i="34"/>
  <c r="E79" i="34"/>
  <c r="D78" i="34"/>
  <c r="C77" i="34"/>
  <c r="M75" i="34"/>
  <c r="L74" i="34"/>
  <c r="K73" i="34"/>
  <c r="J72" i="34"/>
  <c r="B96" i="34"/>
  <c r="I103" i="34"/>
  <c r="H102" i="34"/>
  <c r="G101" i="34"/>
  <c r="F100" i="34"/>
  <c r="E99" i="34"/>
  <c r="D98" i="34"/>
  <c r="C97" i="34"/>
  <c r="M95" i="34"/>
  <c r="L94" i="34"/>
  <c r="K93" i="34"/>
  <c r="J92" i="34"/>
  <c r="K24" i="34"/>
  <c r="L12" i="9" s="1"/>
  <c r="E24" i="34"/>
  <c r="F12" i="9" s="1"/>
  <c r="L43" i="34"/>
  <c r="K41" i="34"/>
  <c r="I32" i="34"/>
  <c r="M63" i="34"/>
  <c r="I61" i="34"/>
  <c r="D60" i="34"/>
  <c r="D54" i="34"/>
  <c r="B77" i="34"/>
  <c r="H83" i="34"/>
  <c r="G82" i="34"/>
  <c r="F81" i="34"/>
  <c r="E80" i="34"/>
  <c r="D79" i="34"/>
  <c r="C78" i="34"/>
  <c r="M76" i="34"/>
  <c r="L75" i="34"/>
  <c r="K74" i="34"/>
  <c r="J73" i="34"/>
  <c r="I72" i="34"/>
  <c r="M24" i="32"/>
  <c r="L24" i="32"/>
  <c r="K24" i="32"/>
  <c r="G38" i="34"/>
  <c r="F37" i="34"/>
  <c r="E36" i="34"/>
  <c r="D35" i="34"/>
  <c r="C34" i="34"/>
  <c r="B58" i="34"/>
  <c r="G58" i="34"/>
  <c r="F57" i="34"/>
  <c r="E56" i="34"/>
  <c r="D55" i="34"/>
  <c r="C54" i="34"/>
  <c r="B34" i="34"/>
  <c r="F38" i="34"/>
  <c r="E37" i="34"/>
  <c r="D36" i="34"/>
  <c r="C35" i="34"/>
  <c r="J62" i="34"/>
  <c r="F58" i="34"/>
  <c r="E57" i="34"/>
  <c r="D56" i="34"/>
  <c r="C55" i="34"/>
  <c r="M53" i="34"/>
  <c r="B35" i="34"/>
  <c r="E38" i="34"/>
  <c r="D37" i="34"/>
  <c r="C36" i="34"/>
  <c r="M34" i="34"/>
  <c r="I62" i="34"/>
  <c r="E58" i="34"/>
  <c r="D57" i="34"/>
  <c r="C56" i="34"/>
  <c r="M54" i="34"/>
  <c r="L53" i="34"/>
  <c r="D38" i="34"/>
  <c r="C37" i="34"/>
  <c r="M35" i="34"/>
  <c r="L34" i="34"/>
  <c r="K33" i="34"/>
  <c r="B53" i="34"/>
  <c r="H62" i="34"/>
  <c r="D58" i="34"/>
  <c r="C57" i="34"/>
  <c r="M55" i="34"/>
  <c r="L54" i="34"/>
  <c r="K53" i="34"/>
  <c r="J52" i="34"/>
  <c r="H58" i="34"/>
  <c r="B37" i="34"/>
  <c r="G42" i="34"/>
  <c r="C38" i="34"/>
  <c r="M36" i="34"/>
  <c r="L35" i="34"/>
  <c r="K34" i="34"/>
  <c r="J33" i="34"/>
  <c r="B54" i="34"/>
  <c r="G62" i="34"/>
  <c r="C58" i="34"/>
  <c r="M56" i="34"/>
  <c r="L55" i="34"/>
  <c r="K54" i="34"/>
  <c r="J53" i="34"/>
  <c r="I52" i="34"/>
  <c r="B38" i="34"/>
  <c r="F42" i="34"/>
  <c r="M37" i="34"/>
  <c r="L36" i="34"/>
  <c r="K35" i="34"/>
  <c r="J34" i="34"/>
  <c r="I33" i="34"/>
  <c r="H32" i="34"/>
  <c r="G31" i="34"/>
  <c r="B56" i="34"/>
  <c r="F62" i="34"/>
  <c r="M57" i="34"/>
  <c r="L56" i="34"/>
  <c r="K55" i="34"/>
  <c r="J54" i="34"/>
  <c r="I53" i="34"/>
  <c r="H52" i="34"/>
  <c r="F43" i="34"/>
  <c r="E42" i="34"/>
  <c r="C40" i="34"/>
  <c r="M38" i="34"/>
  <c r="L37" i="34"/>
  <c r="K36" i="34"/>
  <c r="J35" i="34"/>
  <c r="I34" i="34"/>
  <c r="H33" i="34"/>
  <c r="G32" i="34"/>
  <c r="F31" i="34"/>
  <c r="B57" i="34"/>
  <c r="F63" i="34"/>
  <c r="E62" i="34"/>
  <c r="D61" i="34"/>
  <c r="C60" i="34"/>
  <c r="M58" i="34"/>
  <c r="L57" i="34"/>
  <c r="K56" i="34"/>
  <c r="J55" i="34"/>
  <c r="I54" i="34"/>
  <c r="H53" i="34"/>
  <c r="G52" i="34"/>
  <c r="H38" i="34"/>
  <c r="D42" i="34"/>
  <c r="L38" i="34"/>
  <c r="K37" i="34"/>
  <c r="J36" i="34"/>
  <c r="D62" i="34"/>
  <c r="L58" i="34"/>
  <c r="K57" i="34"/>
  <c r="J56" i="34"/>
  <c r="I55" i="34"/>
  <c r="H54" i="34"/>
  <c r="G53" i="34"/>
  <c r="B41" i="34"/>
  <c r="D43" i="34"/>
  <c r="C42" i="34"/>
  <c r="M40" i="34"/>
  <c r="L39" i="34"/>
  <c r="K38" i="34"/>
  <c r="J37" i="34"/>
  <c r="I36" i="34"/>
  <c r="H35" i="34"/>
  <c r="G34" i="34"/>
  <c r="F33" i="34"/>
  <c r="E32" i="34"/>
  <c r="D31" i="34"/>
  <c r="B61" i="34"/>
  <c r="D63" i="34"/>
  <c r="C62" i="34"/>
  <c r="M60" i="34"/>
  <c r="L59" i="34"/>
  <c r="K58" i="34"/>
  <c r="J57" i="34"/>
  <c r="I56" i="34"/>
  <c r="H55" i="34"/>
  <c r="G54" i="34"/>
  <c r="F53" i="34"/>
  <c r="E52" i="34"/>
  <c r="I35" i="34"/>
  <c r="B42" i="34"/>
  <c r="C43" i="34"/>
  <c r="M41" i="34"/>
  <c r="L40" i="34"/>
  <c r="K39" i="34"/>
  <c r="J38" i="34"/>
  <c r="I37" i="34"/>
  <c r="H36" i="34"/>
  <c r="G35" i="34"/>
  <c r="F34" i="34"/>
  <c r="E33" i="34"/>
  <c r="D32" i="34"/>
  <c r="C31" i="34"/>
  <c r="B62" i="34"/>
  <c r="C63" i="34"/>
  <c r="M61" i="34"/>
  <c r="L60" i="34"/>
  <c r="K59" i="34"/>
  <c r="J58" i="34"/>
  <c r="I57" i="34"/>
  <c r="H56" i="34"/>
  <c r="G55" i="34"/>
  <c r="F54" i="34"/>
  <c r="E53" i="34"/>
  <c r="D52" i="34"/>
  <c r="H34" i="34"/>
  <c r="B43" i="34"/>
  <c r="M42" i="34"/>
  <c r="L41" i="34"/>
  <c r="K40" i="34"/>
  <c r="J39" i="34"/>
  <c r="I38" i="34"/>
  <c r="H37" i="34"/>
  <c r="G36" i="34"/>
  <c r="F35" i="34"/>
  <c r="E34" i="34"/>
  <c r="D33" i="34"/>
  <c r="C32" i="34"/>
  <c r="B55" i="34"/>
  <c r="B63" i="34"/>
  <c r="M62" i="34"/>
  <c r="L61" i="34"/>
  <c r="K60" i="34"/>
  <c r="J59" i="34"/>
  <c r="I58" i="34"/>
  <c r="H57" i="34"/>
  <c r="G56" i="34"/>
  <c r="F55" i="34"/>
  <c r="E54" i="34"/>
  <c r="D53" i="34"/>
  <c r="C52" i="34"/>
  <c r="R69" i="34"/>
  <c r="F24" i="34"/>
  <c r="G12" i="9" s="1"/>
  <c r="N16" i="34"/>
  <c r="L24" i="34"/>
  <c r="M12" i="9" s="1"/>
  <c r="D24" i="34"/>
  <c r="E12" i="9" s="1"/>
  <c r="N15" i="34"/>
  <c r="N14" i="34"/>
  <c r="N21" i="34"/>
  <c r="N23" i="34"/>
  <c r="N22" i="34"/>
  <c r="N20" i="34"/>
  <c r="N19" i="34"/>
  <c r="N18" i="34"/>
  <c r="N17" i="34"/>
  <c r="H24" i="32"/>
  <c r="F24" i="32"/>
  <c r="D24" i="32"/>
  <c r="E24" i="32"/>
  <c r="C24" i="32"/>
  <c r="B24" i="32"/>
  <c r="N93" i="34" l="1"/>
  <c r="N97" i="34"/>
  <c r="N77" i="34"/>
  <c r="N99" i="34"/>
  <c r="N79" i="34"/>
  <c r="N94" i="34"/>
  <c r="N74" i="34"/>
  <c r="N61" i="34"/>
  <c r="N80" i="34"/>
  <c r="N83" i="34"/>
  <c r="N92" i="34"/>
  <c r="N101" i="34"/>
  <c r="N78" i="34"/>
  <c r="N95" i="34"/>
  <c r="N96" i="34"/>
  <c r="N37" i="34"/>
  <c r="N75" i="34"/>
  <c r="N102" i="34"/>
  <c r="N73" i="34"/>
  <c r="N103" i="34"/>
  <c r="N81" i="34"/>
  <c r="N76" i="34"/>
  <c r="G41" i="36"/>
  <c r="N82" i="34"/>
  <c r="N98" i="34"/>
  <c r="N100" i="34"/>
  <c r="D42" i="36"/>
  <c r="G42" i="36" s="1"/>
  <c r="H42" i="36" s="1"/>
  <c r="I42" i="36"/>
  <c r="E42" i="36"/>
  <c r="H44" i="34"/>
  <c r="I26" i="9" s="1"/>
  <c r="N72" i="34"/>
  <c r="N54" i="34"/>
  <c r="N39" i="34"/>
  <c r="N32" i="34"/>
  <c r="N52" i="34"/>
  <c r="N57" i="34"/>
  <c r="N58" i="34"/>
  <c r="N35" i="34"/>
  <c r="N53" i="34"/>
  <c r="M44" i="34"/>
  <c r="N26" i="9" s="1"/>
  <c r="N56" i="34"/>
  <c r="N38" i="34"/>
  <c r="K44" i="34"/>
  <c r="L26" i="9" s="1"/>
  <c r="N36" i="34"/>
  <c r="G44" i="34"/>
  <c r="H26" i="9" s="1"/>
  <c r="N59" i="34"/>
  <c r="J44" i="34"/>
  <c r="K26" i="9" s="1"/>
  <c r="N62" i="34"/>
  <c r="N43" i="34"/>
  <c r="N40" i="34"/>
  <c r="B44" i="34"/>
  <c r="C26" i="9" s="1"/>
  <c r="E44" i="34"/>
  <c r="F26" i="9" s="1"/>
  <c r="C44" i="34"/>
  <c r="D26" i="9" s="1"/>
  <c r="N42" i="34"/>
  <c r="N63" i="34"/>
  <c r="D44" i="34"/>
  <c r="E26" i="9" s="1"/>
  <c r="I44" i="34"/>
  <c r="J26" i="9" s="1"/>
  <c r="N34" i="34"/>
  <c r="N60" i="34"/>
  <c r="N41" i="34"/>
  <c r="N55" i="34"/>
  <c r="N33" i="34"/>
  <c r="C51" i="34"/>
  <c r="D51" i="34"/>
  <c r="D64" i="34" s="1"/>
  <c r="E37" i="9" s="1"/>
  <c r="E51" i="34"/>
  <c r="E64" i="34" s="1"/>
  <c r="F37" i="9" s="1"/>
  <c r="F51" i="34"/>
  <c r="F64" i="34" s="1"/>
  <c r="G37" i="9" s="1"/>
  <c r="G51" i="34"/>
  <c r="G64" i="34" s="1"/>
  <c r="H37" i="9" s="1"/>
  <c r="M51" i="34"/>
  <c r="M64" i="34" s="1"/>
  <c r="N37" i="9" s="1"/>
  <c r="H51" i="34"/>
  <c r="H64" i="34" s="1"/>
  <c r="I37" i="9" s="1"/>
  <c r="I51" i="34"/>
  <c r="I64" i="34" s="1"/>
  <c r="J37" i="9" s="1"/>
  <c r="J51" i="34"/>
  <c r="J64" i="34" s="1"/>
  <c r="K37" i="9" s="1"/>
  <c r="K51" i="34"/>
  <c r="K64" i="34" s="1"/>
  <c r="L37" i="9" s="1"/>
  <c r="B51" i="34"/>
  <c r="L51" i="34"/>
  <c r="L64" i="34" s="1"/>
  <c r="M37" i="9" s="1"/>
  <c r="L44" i="34"/>
  <c r="M26" i="9" s="1"/>
  <c r="F44" i="34"/>
  <c r="G26" i="9" s="1"/>
  <c r="N31" i="34"/>
  <c r="S69" i="34"/>
  <c r="C64" i="34"/>
  <c r="D37" i="9" s="1"/>
  <c r="N24" i="34"/>
  <c r="G22" i="32"/>
  <c r="G23" i="32"/>
  <c r="D43" i="36" l="1"/>
  <c r="I43" i="36"/>
  <c r="E43" i="36"/>
  <c r="H41" i="36"/>
  <c r="N44" i="34"/>
  <c r="D9" i="22" s="1"/>
  <c r="T69" i="34"/>
  <c r="H71" i="34"/>
  <c r="H84" i="34" s="1"/>
  <c r="I48" i="9" s="1"/>
  <c r="I71" i="34"/>
  <c r="I84" i="34" s="1"/>
  <c r="J48" i="9" s="1"/>
  <c r="J71" i="34"/>
  <c r="J84" i="34" s="1"/>
  <c r="K48" i="9" s="1"/>
  <c r="K71" i="34"/>
  <c r="K84" i="34" s="1"/>
  <c r="L48" i="9" s="1"/>
  <c r="L71" i="34"/>
  <c r="L84" i="34" s="1"/>
  <c r="M48" i="9" s="1"/>
  <c r="M71" i="34"/>
  <c r="M84" i="34" s="1"/>
  <c r="N48" i="9" s="1"/>
  <c r="B71" i="34"/>
  <c r="C71" i="34"/>
  <c r="C84" i="34" s="1"/>
  <c r="D48" i="9" s="1"/>
  <c r="D71" i="34"/>
  <c r="D84" i="34" s="1"/>
  <c r="E48" i="9" s="1"/>
  <c r="E71" i="34"/>
  <c r="E84" i="34" s="1"/>
  <c r="F48" i="9" s="1"/>
  <c r="F71" i="34"/>
  <c r="F84" i="34" s="1"/>
  <c r="G48" i="9" s="1"/>
  <c r="G71" i="34"/>
  <c r="G84" i="34" s="1"/>
  <c r="H48" i="9" s="1"/>
  <c r="B18" i="10"/>
  <c r="B64" i="34"/>
  <c r="N51" i="34"/>
  <c r="D8" i="22"/>
  <c r="B9" i="10"/>
  <c r="G9" i="10" s="1"/>
  <c r="G24" i="32"/>
  <c r="D44" i="36" l="1"/>
  <c r="G44" i="36" s="1"/>
  <c r="H44" i="36" s="1"/>
  <c r="E44" i="36"/>
  <c r="I44" i="36"/>
  <c r="G43" i="36"/>
  <c r="D45" i="36"/>
  <c r="N71" i="34"/>
  <c r="B84" i="34"/>
  <c r="H91" i="34"/>
  <c r="H104" i="34" s="1"/>
  <c r="I59" i="9" s="1"/>
  <c r="I91" i="34"/>
  <c r="I104" i="34" s="1"/>
  <c r="J59" i="9" s="1"/>
  <c r="J91" i="34"/>
  <c r="J104" i="34" s="1"/>
  <c r="K59" i="9" s="1"/>
  <c r="K91" i="34"/>
  <c r="K104" i="34" s="1"/>
  <c r="L59" i="9" s="1"/>
  <c r="L91" i="34"/>
  <c r="L104" i="34" s="1"/>
  <c r="M59" i="9" s="1"/>
  <c r="M91" i="34"/>
  <c r="M104" i="34" s="1"/>
  <c r="N59" i="9" s="1"/>
  <c r="B91" i="34"/>
  <c r="C91" i="34"/>
  <c r="C104" i="34" s="1"/>
  <c r="D59" i="9" s="1"/>
  <c r="D91" i="34"/>
  <c r="D104" i="34" s="1"/>
  <c r="E59" i="9" s="1"/>
  <c r="E91" i="34"/>
  <c r="E104" i="34" s="1"/>
  <c r="F59" i="9" s="1"/>
  <c r="F91" i="34"/>
  <c r="F104" i="34" s="1"/>
  <c r="G59" i="9" s="1"/>
  <c r="G91" i="34"/>
  <c r="G104" i="34" s="1"/>
  <c r="H59" i="9" s="1"/>
  <c r="N64" i="34"/>
  <c r="C37" i="9"/>
  <c r="F18" i="18"/>
  <c r="F19" i="18"/>
  <c r="F20" i="18"/>
  <c r="F21" i="18"/>
  <c r="F22" i="18"/>
  <c r="F23" i="18"/>
  <c r="F17" i="18"/>
  <c r="G17" i="18"/>
  <c r="H17" i="18" s="1"/>
  <c r="G18" i="18"/>
  <c r="H18" i="18" s="1"/>
  <c r="G19" i="18"/>
  <c r="H19" i="18" s="1"/>
  <c r="G20" i="18"/>
  <c r="H20" i="18" s="1"/>
  <c r="G21" i="18"/>
  <c r="H21" i="18" s="1"/>
  <c r="G22" i="18"/>
  <c r="H22" i="18" s="1"/>
  <c r="G23" i="18"/>
  <c r="H23" i="18" s="1"/>
  <c r="G9" i="18"/>
  <c r="H9" i="18" s="1"/>
  <c r="G10" i="18"/>
  <c r="H10" i="18" s="1"/>
  <c r="G11" i="18"/>
  <c r="H11" i="18" s="1"/>
  <c r="G12" i="18"/>
  <c r="H12" i="18" s="1"/>
  <c r="G13" i="18"/>
  <c r="H13" i="18" s="1"/>
  <c r="G8" i="18"/>
  <c r="H8" i="18" s="1"/>
  <c r="F13" i="18"/>
  <c r="F9" i="18"/>
  <c r="F10" i="18"/>
  <c r="F11" i="18"/>
  <c r="F12" i="18"/>
  <c r="F8" i="18"/>
  <c r="H43" i="36" l="1"/>
  <c r="G45" i="36"/>
  <c r="H45" i="36"/>
  <c r="N91" i="34"/>
  <c r="B104" i="34"/>
  <c r="B28" i="10"/>
  <c r="D10" i="22"/>
  <c r="N84" i="34"/>
  <c r="C48" i="9"/>
  <c r="H25" i="18"/>
  <c r="H14" i="18"/>
  <c r="D63" i="30"/>
  <c r="F25" i="30"/>
  <c r="F31" i="30" s="1"/>
  <c r="Q20" i="30"/>
  <c r="K16" i="30"/>
  <c r="G17" i="30"/>
  <c r="G8" i="22"/>
  <c r="B34" i="36" l="1"/>
  <c r="B17" i="36"/>
  <c r="B37" i="36"/>
  <c r="B24" i="36"/>
  <c r="B10" i="36"/>
  <c r="B14" i="36"/>
  <c r="B32" i="36"/>
  <c r="B16" i="36"/>
  <c r="B19" i="36"/>
  <c r="B35" i="36"/>
  <c r="B29" i="36"/>
  <c r="B26" i="36"/>
  <c r="B39" i="36"/>
  <c r="B25" i="36"/>
  <c r="B38" i="36"/>
  <c r="B18" i="36"/>
  <c r="B27" i="36"/>
  <c r="B28" i="36"/>
  <c r="B44" i="36"/>
  <c r="B23" i="36"/>
  <c r="B15" i="36"/>
  <c r="B31" i="36"/>
  <c r="B36" i="36"/>
  <c r="B30" i="36"/>
  <c r="B21" i="36"/>
  <c r="B40" i="36"/>
  <c r="B33" i="36"/>
  <c r="B22" i="36"/>
  <c r="B41" i="36"/>
  <c r="B12" i="36"/>
  <c r="B43" i="36"/>
  <c r="B13" i="36"/>
  <c r="B20" i="36"/>
  <c r="B42" i="36"/>
  <c r="B11" i="36"/>
  <c r="B9" i="36"/>
  <c r="B39" i="10"/>
  <c r="D11" i="22"/>
  <c r="N104" i="34"/>
  <c r="C59" i="9"/>
  <c r="B50" i="10" l="1"/>
  <c r="D12" i="22"/>
  <c r="H8" i="22"/>
  <c r="D38" i="9" l="1"/>
  <c r="E38" i="9"/>
  <c r="F38" i="9"/>
  <c r="G38" i="9"/>
  <c r="L38" i="9"/>
  <c r="M38" i="9"/>
  <c r="N38" i="9"/>
  <c r="J50" i="10"/>
  <c r="E28" i="10"/>
  <c r="I39" i="10"/>
  <c r="J28" i="10"/>
  <c r="D28" i="10" l="1"/>
  <c r="C28" i="10"/>
  <c r="E50" i="10"/>
  <c r="D39" i="10"/>
  <c r="H28" i="10"/>
  <c r="I50" i="10"/>
  <c r="G28" i="10"/>
  <c r="E39" i="10"/>
  <c r="H39" i="10"/>
  <c r="C38" i="9"/>
  <c r="K38" i="9"/>
  <c r="C49" i="9"/>
  <c r="K49" i="9"/>
  <c r="G49" i="9"/>
  <c r="O48" i="9"/>
  <c r="L60" i="9"/>
  <c r="H60" i="9"/>
  <c r="D60" i="9"/>
  <c r="F39" i="10"/>
  <c r="G39" i="10"/>
  <c r="F50" i="10"/>
  <c r="H50" i="10"/>
  <c r="J38" i="9"/>
  <c r="N49" i="9"/>
  <c r="J49" i="9"/>
  <c r="F49" i="9"/>
  <c r="C60" i="9"/>
  <c r="K60" i="9"/>
  <c r="G60" i="9"/>
  <c r="O59" i="9"/>
  <c r="I28" i="10"/>
  <c r="F28" i="10"/>
  <c r="J39" i="10"/>
  <c r="C50" i="10"/>
  <c r="G50" i="10"/>
  <c r="I38" i="9"/>
  <c r="M49" i="9"/>
  <c r="I49" i="9"/>
  <c r="E49" i="9"/>
  <c r="N60" i="9"/>
  <c r="J60" i="9"/>
  <c r="F60" i="9"/>
  <c r="C39" i="10"/>
  <c r="D50" i="10"/>
  <c r="H38" i="9"/>
  <c r="L49" i="9"/>
  <c r="H49" i="9"/>
  <c r="D49" i="9"/>
  <c r="M60" i="9"/>
  <c r="I60" i="9"/>
  <c r="E60" i="9"/>
  <c r="O37" i="9"/>
  <c r="O49" i="9" l="1"/>
  <c r="O38" i="9"/>
  <c r="O60" i="9"/>
  <c r="F75" i="9" l="1"/>
  <c r="D75" i="9"/>
  <c r="D73" i="9"/>
  <c r="E75" i="9"/>
  <c r="D27" i="9" l="1"/>
  <c r="F27" i="9"/>
  <c r="H27" i="9"/>
  <c r="L27" i="9"/>
  <c r="N27" i="9"/>
  <c r="E27" i="9"/>
  <c r="I27" i="9" l="1"/>
  <c r="J27" i="9"/>
  <c r="K27" i="9"/>
  <c r="G27" i="9"/>
  <c r="M27" i="9"/>
  <c r="C27" i="9"/>
  <c r="O26" i="9"/>
  <c r="O27" i="9" l="1"/>
  <c r="D18" i="10"/>
  <c r="I18" i="10"/>
  <c r="C18" i="10"/>
  <c r="J18" i="10"/>
  <c r="E18" i="10"/>
  <c r="F18" i="10"/>
  <c r="G18" i="10"/>
  <c r="H18" i="10"/>
  <c r="C75" i="9"/>
  <c r="F19" i="30" l="1"/>
  <c r="E12" i="30" s="1"/>
  <c r="F20" i="30" l="1"/>
  <c r="F21" i="30"/>
  <c r="E10" i="29"/>
  <c r="M10" i="29" s="1"/>
  <c r="M15" i="29" s="1"/>
  <c r="F10" i="29"/>
  <c r="F15" i="29" s="1"/>
  <c r="G10" i="29"/>
  <c r="G15" i="29" s="1"/>
  <c r="H10" i="29"/>
  <c r="H15" i="29" s="1"/>
  <c r="I10" i="29"/>
  <c r="I15" i="29" s="1"/>
  <c r="J10" i="29"/>
  <c r="J15" i="29" s="1"/>
  <c r="K10" i="29"/>
  <c r="K15" i="29" s="1"/>
  <c r="L10" i="29"/>
  <c r="L15" i="29" s="1"/>
  <c r="Q10" i="29"/>
  <c r="Q15" i="29" s="1"/>
  <c r="E15" i="29"/>
  <c r="E24" i="29"/>
  <c r="J24" i="29" s="1"/>
  <c r="F25" i="29"/>
  <c r="G25" i="29"/>
  <c r="H25" i="29"/>
  <c r="I25" i="29"/>
  <c r="J25" i="29"/>
  <c r="K25" i="29"/>
  <c r="L25" i="29"/>
  <c r="M25" i="29"/>
  <c r="N25" i="29"/>
  <c r="O25" i="29"/>
  <c r="P25" i="29"/>
  <c r="Q25" i="29"/>
  <c r="D31" i="29"/>
  <c r="F31" i="29" s="1"/>
  <c r="E31" i="29"/>
  <c r="I31" i="29"/>
  <c r="J31" i="29"/>
  <c r="K31" i="29"/>
  <c r="D32" i="29"/>
  <c r="H32" i="29" s="1"/>
  <c r="E32" i="29"/>
  <c r="G32" i="29"/>
  <c r="K32" i="29"/>
  <c r="D33" i="29"/>
  <c r="J33" i="29" s="1"/>
  <c r="D34" i="29"/>
  <c r="E34" i="29" s="1"/>
  <c r="D35" i="29"/>
  <c r="F35" i="29" s="1"/>
  <c r="D36" i="29"/>
  <c r="H36" i="29" s="1"/>
  <c r="E36" i="29"/>
  <c r="G36" i="29"/>
  <c r="D37" i="29"/>
  <c r="J37" i="29" s="1"/>
  <c r="E37" i="29"/>
  <c r="D38" i="29"/>
  <c r="L38" i="29" s="1"/>
  <c r="E38" i="29"/>
  <c r="F38" i="29"/>
  <c r="D40" i="29"/>
  <c r="F40" i="29" s="1"/>
  <c r="D41" i="29"/>
  <c r="I41" i="29" s="1"/>
  <c r="D42" i="29"/>
  <c r="K42" i="29" s="1"/>
  <c r="G42" i="29"/>
  <c r="H42" i="29"/>
  <c r="I42" i="29"/>
  <c r="J42" i="29"/>
  <c r="P42" i="29"/>
  <c r="D43" i="29"/>
  <c r="E43" i="29" s="1"/>
  <c r="D44" i="29"/>
  <c r="G44" i="29" s="1"/>
  <c r="D45" i="29"/>
  <c r="I45" i="29" s="1"/>
  <c r="H45" i="29"/>
  <c r="K45" i="29"/>
  <c r="L45" i="29"/>
  <c r="M45" i="29"/>
  <c r="O45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E48" i="29"/>
  <c r="B40" i="28" s="1" a="1"/>
  <c r="F48" i="29"/>
  <c r="G48" i="29"/>
  <c r="H48" i="29"/>
  <c r="I48" i="29"/>
  <c r="J48" i="29"/>
  <c r="K48" i="29"/>
  <c r="L48" i="29"/>
  <c r="M48" i="29"/>
  <c r="N48" i="29"/>
  <c r="O48" i="29"/>
  <c r="P48" i="29"/>
  <c r="Q48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D51" i="29"/>
  <c r="G51" i="29" s="1"/>
  <c r="E51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A5" i="28"/>
  <c r="Q5" i="28" s="1"/>
  <c r="A6" i="28"/>
  <c r="Q6" i="28" s="1"/>
  <c r="A7" i="28"/>
  <c r="Q7" i="28" s="1"/>
  <c r="A8" i="28"/>
  <c r="Q8" i="28" s="1"/>
  <c r="A9" i="28"/>
  <c r="Q9" i="28" s="1"/>
  <c r="A10" i="28" a="1"/>
  <c r="A10" i="28" s="1"/>
  <c r="A12" i="28"/>
  <c r="Q12" i="28" s="1"/>
  <c r="A13" i="28" a="1"/>
  <c r="A68" i="28" s="1"/>
  <c r="A121" i="28" s="1"/>
  <c r="A174" i="28" s="1"/>
  <c r="A227" i="28" s="1"/>
  <c r="A17" i="28"/>
  <c r="B17" i="28" a="1"/>
  <c r="C20" i="28" s="1"/>
  <c r="D20" i="28" s="1"/>
  <c r="E20" i="28" s="1"/>
  <c r="F20" i="28" s="1"/>
  <c r="G20" i="28" s="1"/>
  <c r="H20" i="28" s="1"/>
  <c r="I20" i="28" s="1"/>
  <c r="J20" i="28" s="1"/>
  <c r="K20" i="28" s="1"/>
  <c r="L20" i="28" s="1"/>
  <c r="M20" i="28" s="1"/>
  <c r="A18" i="28"/>
  <c r="Q19" i="28" s="1"/>
  <c r="A19" i="28"/>
  <c r="A20" i="28"/>
  <c r="A73" i="28" s="1"/>
  <c r="A126" i="28" s="1"/>
  <c r="A179" i="28" s="1"/>
  <c r="A232" i="28" s="1"/>
  <c r="A21" i="28"/>
  <c r="Q22" i="28" s="1"/>
  <c r="Q21" i="28"/>
  <c r="A22" i="28" a="1"/>
  <c r="Q24" i="28" s="1"/>
  <c r="B22" i="28" a="1"/>
  <c r="B22" i="28" s="1"/>
  <c r="C22" i="28" s="1"/>
  <c r="D22" i="28" s="1"/>
  <c r="E22" i="28" s="1"/>
  <c r="F22" i="28" s="1"/>
  <c r="G22" i="28" s="1"/>
  <c r="H22" i="28" s="1"/>
  <c r="I22" i="28" s="1"/>
  <c r="J22" i="28" s="1"/>
  <c r="K22" i="28" s="1"/>
  <c r="L22" i="28" s="1"/>
  <c r="M22" i="28" s="1"/>
  <c r="R23" i="28" s="1"/>
  <c r="S23" i="28" s="1"/>
  <c r="T23" i="28" s="1"/>
  <c r="U23" i="28" s="1"/>
  <c r="V23" i="28" s="1"/>
  <c r="A26" i="28" a="1"/>
  <c r="A26" i="28" s="1"/>
  <c r="A79" i="28" s="1"/>
  <c r="A132" i="28" s="1"/>
  <c r="A185" i="28" s="1"/>
  <c r="A238" i="28" s="1"/>
  <c r="A34" i="28" a="1"/>
  <c r="A92" i="28" s="1"/>
  <c r="A145" i="28" s="1"/>
  <c r="A198" i="28" s="1"/>
  <c r="A251" i="28" s="1"/>
  <c r="A40" i="28" a="1"/>
  <c r="Q42" i="28" s="1"/>
  <c r="C45" i="28"/>
  <c r="D45" i="28" s="1"/>
  <c r="E45" i="28" s="1"/>
  <c r="F45" i="28" s="1"/>
  <c r="G45" i="28" s="1"/>
  <c r="H45" i="28" s="1"/>
  <c r="I45" i="28" s="1"/>
  <c r="J45" i="28" s="1"/>
  <c r="K45" i="28" s="1"/>
  <c r="L45" i="28" s="1"/>
  <c r="M45" i="28" s="1"/>
  <c r="R46" i="28" s="1"/>
  <c r="S46" i="28" s="1"/>
  <c r="T46" i="28" s="1"/>
  <c r="U46" i="28" s="1"/>
  <c r="V46" i="28" s="1"/>
  <c r="C46" i="28"/>
  <c r="D46" i="28" s="1"/>
  <c r="Q46" i="28"/>
  <c r="C47" i="28"/>
  <c r="D47" i="28"/>
  <c r="E47" i="28"/>
  <c r="Q47" i="28"/>
  <c r="A48" i="28" a="1"/>
  <c r="Q51" i="28" s="1"/>
  <c r="B48" i="28" a="1"/>
  <c r="C52" i="28" s="1"/>
  <c r="D52" i="28" s="1"/>
  <c r="E52" i="28" s="1"/>
  <c r="F52" i="28" s="1"/>
  <c r="G52" i="28" s="1"/>
  <c r="H52" i="28" s="1"/>
  <c r="I52" i="28" s="1"/>
  <c r="J52" i="28" s="1"/>
  <c r="K52" i="28" s="1"/>
  <c r="L52" i="28" s="1"/>
  <c r="M52" i="28" s="1"/>
  <c r="Q48" i="28"/>
  <c r="A59" i="28"/>
  <c r="A112" i="28" s="1"/>
  <c r="A165" i="28" s="1"/>
  <c r="A218" i="28" s="1"/>
  <c r="A61" i="28"/>
  <c r="A114" i="28" s="1"/>
  <c r="A167" i="28" s="1"/>
  <c r="A220" i="28" s="1"/>
  <c r="A98" i="28"/>
  <c r="A99" i="28"/>
  <c r="A100" i="28"/>
  <c r="A151" i="28"/>
  <c r="A204" i="28" s="1"/>
  <c r="A257" i="28" s="1"/>
  <c r="A152" i="28"/>
  <c r="A205" i="28" s="1"/>
  <c r="A258" i="28" s="1"/>
  <c r="A153" i="28"/>
  <c r="A206" i="28" s="1"/>
  <c r="A259" i="28" s="1"/>
  <c r="E40" i="29" l="1"/>
  <c r="L40" i="29"/>
  <c r="Q43" i="29"/>
  <c r="K40" i="29"/>
  <c r="A74" i="28"/>
  <c r="A127" i="28" s="1"/>
  <c r="A180" i="28" s="1"/>
  <c r="A233" i="28" s="1"/>
  <c r="L43" i="29"/>
  <c r="J40" i="29"/>
  <c r="K43" i="29"/>
  <c r="I40" i="29"/>
  <c r="P34" i="29"/>
  <c r="E41" i="29"/>
  <c r="O33" i="29"/>
  <c r="Q51" i="29"/>
  <c r="L51" i="29"/>
  <c r="J38" i="29"/>
  <c r="K51" i="29"/>
  <c r="I38" i="29"/>
  <c r="J51" i="29"/>
  <c r="E42" i="29"/>
  <c r="H38" i="29"/>
  <c r="I51" i="29"/>
  <c r="G38" i="29"/>
  <c r="Q33" i="29"/>
  <c r="E44" i="29"/>
  <c r="G41" i="29"/>
  <c r="F37" i="29"/>
  <c r="O34" i="29"/>
  <c r="M34" i="29"/>
  <c r="B48" i="28"/>
  <c r="C48" i="28" s="1"/>
  <c r="D48" i="28" s="1"/>
  <c r="E48" i="28" s="1"/>
  <c r="F48" i="28" s="1"/>
  <c r="G48" i="28" s="1"/>
  <c r="H48" i="28" s="1"/>
  <c r="I48" i="28" s="1"/>
  <c r="J48" i="28" s="1"/>
  <c r="K48" i="28" s="1"/>
  <c r="L48" i="28" s="1"/>
  <c r="M48" i="28" s="1"/>
  <c r="F51" i="29"/>
  <c r="G45" i="29"/>
  <c r="E45" i="29"/>
  <c r="Q42" i="29"/>
  <c r="P41" i="29"/>
  <c r="Q35" i="29"/>
  <c r="M37" i="29"/>
  <c r="M35" i="29"/>
  <c r="O41" i="29"/>
  <c r="R50" i="29"/>
  <c r="K44" i="29"/>
  <c r="O42" i="29"/>
  <c r="M41" i="29"/>
  <c r="L37" i="29"/>
  <c r="L35" i="29"/>
  <c r="O32" i="29"/>
  <c r="A86" i="28"/>
  <c r="A139" i="28" s="1"/>
  <c r="A192" i="28" s="1"/>
  <c r="A245" i="28" s="1"/>
  <c r="J44" i="29"/>
  <c r="N42" i="29"/>
  <c r="L41" i="29"/>
  <c r="Q38" i="29"/>
  <c r="I37" i="29"/>
  <c r="K35" i="29"/>
  <c r="N32" i="29"/>
  <c r="I44" i="29"/>
  <c r="M42" i="29"/>
  <c r="K41" i="29"/>
  <c r="P38" i="29"/>
  <c r="H37" i="29"/>
  <c r="J35" i="29"/>
  <c r="M32" i="29"/>
  <c r="C23" i="28"/>
  <c r="D23" i="28" s="1"/>
  <c r="E23" i="28" s="1"/>
  <c r="F23" i="28" s="1"/>
  <c r="G23" i="28" s="1"/>
  <c r="H23" i="28" s="1"/>
  <c r="I23" i="28" s="1"/>
  <c r="J23" i="28" s="1"/>
  <c r="K23" i="28" s="1"/>
  <c r="L23" i="28" s="1"/>
  <c r="M23" i="28" s="1"/>
  <c r="A71" i="28"/>
  <c r="A124" i="28" s="1"/>
  <c r="A177" i="28" s="1"/>
  <c r="A230" i="28" s="1"/>
  <c r="A65" i="28"/>
  <c r="A118" i="28" s="1"/>
  <c r="A171" i="28" s="1"/>
  <c r="A224" i="28" s="1"/>
  <c r="F44" i="29"/>
  <c r="L42" i="29"/>
  <c r="H41" i="29"/>
  <c r="K38" i="29"/>
  <c r="G37" i="29"/>
  <c r="I35" i="29"/>
  <c r="L32" i="29"/>
  <c r="N34" i="29"/>
  <c r="P33" i="29"/>
  <c r="A83" i="28"/>
  <c r="A136" i="28" s="1"/>
  <c r="A189" i="28" s="1"/>
  <c r="A242" i="28" s="1"/>
  <c r="L34" i="29"/>
  <c r="N33" i="29"/>
  <c r="Q27" i="28"/>
  <c r="K34" i="29"/>
  <c r="M33" i="29"/>
  <c r="Q24" i="29"/>
  <c r="R62" i="29"/>
  <c r="J34" i="29"/>
  <c r="L33" i="29"/>
  <c r="P24" i="29"/>
  <c r="A105" i="28"/>
  <c r="A158" i="28" s="1"/>
  <c r="A211" i="28" s="1"/>
  <c r="A264" i="28" s="1"/>
  <c r="A85" i="28"/>
  <c r="A138" i="28" s="1"/>
  <c r="A191" i="28" s="1"/>
  <c r="A244" i="28" s="1"/>
  <c r="A104" i="28"/>
  <c r="A157" i="28" s="1"/>
  <c r="A210" i="28" s="1"/>
  <c r="A263" i="28" s="1"/>
  <c r="A84" i="28"/>
  <c r="A137" i="28" s="1"/>
  <c r="A190" i="28" s="1"/>
  <c r="A243" i="28" s="1"/>
  <c r="A48" i="28"/>
  <c r="Q49" i="28" s="1"/>
  <c r="A103" i="28"/>
  <c r="A156" i="28" s="1"/>
  <c r="A209" i="28" s="1"/>
  <c r="A262" i="28" s="1"/>
  <c r="A67" i="28"/>
  <c r="A120" i="28" s="1"/>
  <c r="A173" i="28" s="1"/>
  <c r="A226" i="28" s="1"/>
  <c r="A22" i="28"/>
  <c r="A82" i="28"/>
  <c r="A135" i="28" s="1"/>
  <c r="A188" i="28" s="1"/>
  <c r="A241" i="28" s="1"/>
  <c r="A81" i="28"/>
  <c r="A134" i="28" s="1"/>
  <c r="A187" i="28" s="1"/>
  <c r="A240" i="28" s="1"/>
  <c r="A80" i="28"/>
  <c r="A133" i="28" s="1"/>
  <c r="A186" i="28" s="1"/>
  <c r="A239" i="28" s="1"/>
  <c r="Q34" i="28"/>
  <c r="C21" i="28"/>
  <c r="D21" i="28" s="1"/>
  <c r="E21" i="28" s="1"/>
  <c r="F21" i="28" s="1"/>
  <c r="G21" i="28" s="1"/>
  <c r="H21" i="28" s="1"/>
  <c r="I21" i="28" s="1"/>
  <c r="J21" i="28" s="1"/>
  <c r="K21" i="28" s="1"/>
  <c r="L21" i="28" s="1"/>
  <c r="M21" i="28" s="1"/>
  <c r="R22" i="28" s="1"/>
  <c r="S22" i="28" s="1"/>
  <c r="T22" i="28" s="1"/>
  <c r="U22" i="28" s="1"/>
  <c r="V22" i="28" s="1"/>
  <c r="A78" i="28"/>
  <c r="A131" i="28" s="1"/>
  <c r="A184" i="28" s="1"/>
  <c r="A237" i="28" s="1"/>
  <c r="A89" i="28"/>
  <c r="A142" i="28" s="1"/>
  <c r="A195" i="28" s="1"/>
  <c r="A248" i="28" s="1"/>
  <c r="A76" i="28"/>
  <c r="A129" i="28" s="1"/>
  <c r="A182" i="28" s="1"/>
  <c r="A235" i="28" s="1"/>
  <c r="C50" i="28"/>
  <c r="D50" i="28" s="1"/>
  <c r="E50" i="28" s="1"/>
  <c r="F50" i="28" s="1"/>
  <c r="G50" i="28" s="1"/>
  <c r="H50" i="28" s="1"/>
  <c r="I50" i="28" s="1"/>
  <c r="J50" i="28" s="1"/>
  <c r="K50" i="28" s="1"/>
  <c r="L50" i="28" s="1"/>
  <c r="M50" i="28" s="1"/>
  <c r="B103" i="28" s="1"/>
  <c r="Q25" i="28"/>
  <c r="I34" i="29"/>
  <c r="I33" i="29"/>
  <c r="O24" i="29"/>
  <c r="Q38" i="28"/>
  <c r="A102" i="28"/>
  <c r="A155" i="28" s="1"/>
  <c r="A208" i="28" s="1"/>
  <c r="A261" i="28" s="1"/>
  <c r="Q37" i="28"/>
  <c r="Q36" i="28"/>
  <c r="A64" i="28"/>
  <c r="A117" i="28" s="1"/>
  <c r="A170" i="28" s="1"/>
  <c r="A223" i="28" s="1"/>
  <c r="A91" i="28"/>
  <c r="A144" i="28" s="1"/>
  <c r="A197" i="28" s="1"/>
  <c r="A250" i="28" s="1"/>
  <c r="A90" i="28"/>
  <c r="A143" i="28" s="1"/>
  <c r="A196" i="28" s="1"/>
  <c r="A249" i="28" s="1"/>
  <c r="A77" i="28"/>
  <c r="A130" i="28" s="1"/>
  <c r="A183" i="28" s="1"/>
  <c r="A236" i="28" s="1"/>
  <c r="Q53" i="28"/>
  <c r="A88" i="28"/>
  <c r="A141" i="28" s="1"/>
  <c r="A194" i="28" s="1"/>
  <c r="A247" i="28" s="1"/>
  <c r="C24" i="28"/>
  <c r="D24" i="28" s="1"/>
  <c r="E24" i="28" s="1"/>
  <c r="F24" i="28" s="1"/>
  <c r="G24" i="28" s="1"/>
  <c r="H24" i="28" s="1"/>
  <c r="I24" i="28" s="1"/>
  <c r="J24" i="28" s="1"/>
  <c r="K24" i="28" s="1"/>
  <c r="L24" i="28" s="1"/>
  <c r="M24" i="28" s="1"/>
  <c r="R25" i="28" s="1"/>
  <c r="S25" i="28" s="1"/>
  <c r="T25" i="28" s="1"/>
  <c r="U25" i="28" s="1"/>
  <c r="V25" i="28" s="1"/>
  <c r="Q44" i="29"/>
  <c r="O38" i="29"/>
  <c r="Q37" i="29"/>
  <c r="O36" i="29"/>
  <c r="H34" i="29"/>
  <c r="H33" i="29"/>
  <c r="N24" i="29"/>
  <c r="P10" i="29"/>
  <c r="P15" i="29" s="1"/>
  <c r="Q12" i="30"/>
  <c r="B5" i="28" s="1"/>
  <c r="Q17" i="30"/>
  <c r="B15" i="28" s="1"/>
  <c r="Q16" i="30"/>
  <c r="B14" i="28" s="1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B67" i="28" s="1"/>
  <c r="C67" i="28" s="1"/>
  <c r="D67" i="28" s="1"/>
  <c r="E67" i="28" s="1"/>
  <c r="F67" i="28" s="1"/>
  <c r="G67" i="28" s="1"/>
  <c r="H67" i="28" s="1"/>
  <c r="I67" i="28" s="1"/>
  <c r="J67" i="28" s="1"/>
  <c r="K67" i="28" s="1"/>
  <c r="L67" i="28" s="1"/>
  <c r="M67" i="28" s="1"/>
  <c r="B120" i="28" s="1"/>
  <c r="Q13" i="30"/>
  <c r="B12" i="28" s="1"/>
  <c r="Q15" i="30"/>
  <c r="B13" i="28" s="1"/>
  <c r="C13" i="28" s="1"/>
  <c r="D13" i="28" s="1"/>
  <c r="E13" i="28" s="1"/>
  <c r="F13" i="28" s="1"/>
  <c r="G13" i="28" s="1"/>
  <c r="H13" i="28" s="1"/>
  <c r="I13" i="28" s="1"/>
  <c r="J13" i="28" s="1"/>
  <c r="K13" i="28" s="1"/>
  <c r="L13" i="28" s="1"/>
  <c r="M13" i="28" s="1"/>
  <c r="B66" i="28" s="1"/>
  <c r="C66" i="28" s="1"/>
  <c r="D66" i="28" s="1"/>
  <c r="E66" i="28" s="1"/>
  <c r="F66" i="28" s="1"/>
  <c r="G66" i="28" s="1"/>
  <c r="H66" i="28" s="1"/>
  <c r="I66" i="28" s="1"/>
  <c r="J66" i="28" s="1"/>
  <c r="K66" i="28" s="1"/>
  <c r="L66" i="28" s="1"/>
  <c r="M66" i="28" s="1"/>
  <c r="B119" i="28" s="1"/>
  <c r="C119" i="28" s="1"/>
  <c r="D119" i="28" s="1"/>
  <c r="E119" i="28" s="1"/>
  <c r="F119" i="28" s="1"/>
  <c r="G119" i="28" s="1"/>
  <c r="H119" i="28" s="1"/>
  <c r="I119" i="28" s="1"/>
  <c r="J119" i="28" s="1"/>
  <c r="K119" i="28" s="1"/>
  <c r="L119" i="28" s="1"/>
  <c r="M119" i="28" s="1"/>
  <c r="B172" i="28" s="1"/>
  <c r="C172" i="28" s="1"/>
  <c r="D172" i="28" s="1"/>
  <c r="E172" i="28" s="1"/>
  <c r="F172" i="28" s="1"/>
  <c r="G172" i="28" s="1"/>
  <c r="H172" i="28" s="1"/>
  <c r="I172" i="28" s="1"/>
  <c r="J172" i="28" s="1"/>
  <c r="K172" i="28" s="1"/>
  <c r="L172" i="28" s="1"/>
  <c r="M172" i="28" s="1"/>
  <c r="B225" i="28" s="1"/>
  <c r="C225" i="28" s="1"/>
  <c r="D225" i="28" s="1"/>
  <c r="E225" i="28" s="1"/>
  <c r="F225" i="28" s="1"/>
  <c r="G225" i="28" s="1"/>
  <c r="H225" i="28" s="1"/>
  <c r="I225" i="28" s="1"/>
  <c r="J225" i="28" s="1"/>
  <c r="K225" i="28" s="1"/>
  <c r="L225" i="28" s="1"/>
  <c r="M225" i="28" s="1"/>
  <c r="Q14" i="30"/>
  <c r="N44" i="29"/>
  <c r="I43" i="29"/>
  <c r="F42" i="29"/>
  <c r="Q40" i="29"/>
  <c r="N38" i="29"/>
  <c r="P37" i="29"/>
  <c r="M36" i="29"/>
  <c r="E35" i="29"/>
  <c r="G34" i="29"/>
  <c r="G33" i="29"/>
  <c r="Q31" i="29"/>
  <c r="M24" i="29"/>
  <c r="O10" i="29"/>
  <c r="O15" i="29" s="1"/>
  <c r="R15" i="29" s="1"/>
  <c r="Q40" i="28"/>
  <c r="N51" i="29"/>
  <c r="M44" i="29"/>
  <c r="N40" i="29"/>
  <c r="M38" i="29"/>
  <c r="O37" i="29"/>
  <c r="L36" i="29"/>
  <c r="F34" i="29"/>
  <c r="F33" i="29"/>
  <c r="M31" i="29"/>
  <c r="R25" i="29"/>
  <c r="I24" i="29"/>
  <c r="N10" i="29"/>
  <c r="N15" i="29" s="1"/>
  <c r="A13" i="28"/>
  <c r="M51" i="29"/>
  <c r="P45" i="29"/>
  <c r="L44" i="29"/>
  <c r="M40" i="29"/>
  <c r="N37" i="29"/>
  <c r="K36" i="29"/>
  <c r="Q34" i="29"/>
  <c r="E33" i="29"/>
  <c r="B26" i="28" s="1" a="1"/>
  <c r="L31" i="29"/>
  <c r="G24" i="29"/>
  <c r="K13" i="30"/>
  <c r="B11" i="28" s="1"/>
  <c r="C11" i="28" s="1"/>
  <c r="D11" i="28" s="1"/>
  <c r="E11" i="28" s="1"/>
  <c r="F11" i="28" s="1"/>
  <c r="G11" i="28" s="1"/>
  <c r="H11" i="28" s="1"/>
  <c r="I11" i="28" s="1"/>
  <c r="J11" i="28" s="1"/>
  <c r="K11" i="28" s="1"/>
  <c r="L11" i="28" s="1"/>
  <c r="M11" i="28" s="1"/>
  <c r="B64" i="28" s="1"/>
  <c r="K12" i="30"/>
  <c r="A60" i="28"/>
  <c r="A113" i="28" s="1"/>
  <c r="A166" i="28" s="1"/>
  <c r="A219" i="28" s="1"/>
  <c r="A58" i="28"/>
  <c r="A111" i="28" s="1"/>
  <c r="A164" i="28" s="1"/>
  <c r="A217" i="28" s="1"/>
  <c r="E14" i="30"/>
  <c r="B7" i="28" s="1"/>
  <c r="C7" i="28" s="1"/>
  <c r="D7" i="28" s="1"/>
  <c r="E7" i="28" s="1"/>
  <c r="F7" i="28" s="1"/>
  <c r="G7" i="28" s="1"/>
  <c r="H7" i="28" s="1"/>
  <c r="I7" i="28" s="1"/>
  <c r="J7" i="28" s="1"/>
  <c r="K7" i="28" s="1"/>
  <c r="L7" i="28" s="1"/>
  <c r="M7" i="28" s="1"/>
  <c r="B60" i="28" s="1"/>
  <c r="A62" i="28"/>
  <c r="A115" i="28" s="1"/>
  <c r="A168" i="28" s="1"/>
  <c r="A221" i="28" s="1"/>
  <c r="Q11" i="28"/>
  <c r="E16" i="30"/>
  <c r="B9" i="28" s="1"/>
  <c r="C9" i="28" s="1"/>
  <c r="E13" i="30"/>
  <c r="B6" i="28" s="1"/>
  <c r="C6" i="28" s="1"/>
  <c r="D6" i="28" s="1"/>
  <c r="E6" i="28" s="1"/>
  <c r="F6" i="28" s="1"/>
  <c r="G6" i="28" s="1"/>
  <c r="H6" i="28" s="1"/>
  <c r="I6" i="28" s="1"/>
  <c r="J6" i="28" s="1"/>
  <c r="K6" i="28" s="1"/>
  <c r="L6" i="28" s="1"/>
  <c r="M6" i="28" s="1"/>
  <c r="B59" i="28" s="1"/>
  <c r="C59" i="28" s="1"/>
  <c r="D59" i="28" s="1"/>
  <c r="E59" i="28" s="1"/>
  <c r="F59" i="28" s="1"/>
  <c r="G59" i="28" s="1"/>
  <c r="H59" i="28" s="1"/>
  <c r="I59" i="28" s="1"/>
  <c r="J59" i="28" s="1"/>
  <c r="K59" i="28" s="1"/>
  <c r="L59" i="28" s="1"/>
  <c r="M59" i="28" s="1"/>
  <c r="B112" i="28" s="1"/>
  <c r="E15" i="30"/>
  <c r="B8" i="28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C44" i="28"/>
  <c r="D44" i="28" s="1"/>
  <c r="E44" i="28" s="1"/>
  <c r="F44" i="28" s="1"/>
  <c r="G44" i="28" s="1"/>
  <c r="H44" i="28" s="1"/>
  <c r="I44" i="28" s="1"/>
  <c r="J44" i="28" s="1"/>
  <c r="K44" i="28" s="1"/>
  <c r="L44" i="28" s="1"/>
  <c r="M44" i="28" s="1"/>
  <c r="R21" i="28"/>
  <c r="S21" i="28" s="1"/>
  <c r="T21" i="28" s="1"/>
  <c r="U21" i="28" s="1"/>
  <c r="V21" i="28" s="1"/>
  <c r="B73" i="28"/>
  <c r="N45" i="29"/>
  <c r="F45" i="29"/>
  <c r="J43" i="29"/>
  <c r="N41" i="29"/>
  <c r="F41" i="29"/>
  <c r="N36" i="29"/>
  <c r="F36" i="29"/>
  <c r="F32" i="29"/>
  <c r="H24" i="29"/>
  <c r="A97" i="28"/>
  <c r="A150" i="28" s="1"/>
  <c r="A203" i="28" s="1"/>
  <c r="A256" i="28" s="1"/>
  <c r="C51" i="28"/>
  <c r="Q39" i="28"/>
  <c r="Q30" i="28"/>
  <c r="Q28" i="28"/>
  <c r="P43" i="29"/>
  <c r="H43" i="29"/>
  <c r="F24" i="29"/>
  <c r="A96" i="28"/>
  <c r="A149" i="28" s="1"/>
  <c r="A202" i="28" s="1"/>
  <c r="A255" i="28" s="1"/>
  <c r="Q52" i="28"/>
  <c r="Q50" i="28"/>
  <c r="C49" i="28"/>
  <c r="D49" i="28" s="1"/>
  <c r="E49" i="28" s="1"/>
  <c r="F49" i="28" s="1"/>
  <c r="G49" i="28" s="1"/>
  <c r="H49" i="28" s="1"/>
  <c r="I49" i="28" s="1"/>
  <c r="J49" i="28" s="1"/>
  <c r="K49" i="28" s="1"/>
  <c r="L49" i="28" s="1"/>
  <c r="M49" i="28" s="1"/>
  <c r="A34" i="28"/>
  <c r="Q26" i="28"/>
  <c r="O43" i="29"/>
  <c r="G43" i="29"/>
  <c r="C25" i="28"/>
  <c r="D25" i="28" s="1"/>
  <c r="E25" i="28" s="1"/>
  <c r="F25" i="28" s="1"/>
  <c r="G25" i="28" s="1"/>
  <c r="H25" i="28" s="1"/>
  <c r="I25" i="28" s="1"/>
  <c r="J25" i="28" s="1"/>
  <c r="K25" i="28" s="1"/>
  <c r="L25" i="28" s="1"/>
  <c r="M25" i="28" s="1"/>
  <c r="R26" i="28" s="1"/>
  <c r="S26" i="28" s="1"/>
  <c r="T26" i="28" s="1"/>
  <c r="U26" i="28" s="1"/>
  <c r="V26" i="28" s="1"/>
  <c r="P51" i="29"/>
  <c r="H51" i="29"/>
  <c r="J45" i="29"/>
  <c r="P44" i="29"/>
  <c r="H44" i="29"/>
  <c r="N43" i="29"/>
  <c r="F43" i="29"/>
  <c r="J41" i="29"/>
  <c r="P40" i="29"/>
  <c r="H40" i="29"/>
  <c r="J36" i="29"/>
  <c r="P35" i="29"/>
  <c r="H35" i="29"/>
  <c r="J32" i="29"/>
  <c r="P31" i="29"/>
  <c r="H31" i="29"/>
  <c r="L24" i="29"/>
  <c r="A95" i="28"/>
  <c r="A148" i="28" s="1"/>
  <c r="A201" i="28" s="1"/>
  <c r="A254" i="28" s="1"/>
  <c r="A101" i="28"/>
  <c r="A154" i="28" s="1"/>
  <c r="A207" i="28" s="1"/>
  <c r="A260" i="28" s="1"/>
  <c r="A94" i="28"/>
  <c r="A147" i="28" s="1"/>
  <c r="A200" i="28" s="1"/>
  <c r="A253" i="28" s="1"/>
  <c r="Q29" i="28"/>
  <c r="O51" i="29"/>
  <c r="Q45" i="29"/>
  <c r="O44" i="29"/>
  <c r="M43" i="29"/>
  <c r="Q41" i="29"/>
  <c r="O40" i="29"/>
  <c r="G40" i="29"/>
  <c r="K37" i="29"/>
  <c r="Q36" i="29"/>
  <c r="I36" i="29"/>
  <c r="O35" i="29"/>
  <c r="G35" i="29"/>
  <c r="K33" i="29"/>
  <c r="Q32" i="29"/>
  <c r="I32" i="29"/>
  <c r="O31" i="29"/>
  <c r="G31" i="29"/>
  <c r="K24" i="29"/>
  <c r="P36" i="29"/>
  <c r="N35" i="29"/>
  <c r="P32" i="29"/>
  <c r="N31" i="29"/>
  <c r="C73" i="28"/>
  <c r="D73" i="28" s="1"/>
  <c r="E73" i="28" s="1"/>
  <c r="F73" i="28" s="1"/>
  <c r="G73" i="28" s="1"/>
  <c r="H73" i="28" s="1"/>
  <c r="I73" i="28" s="1"/>
  <c r="J73" i="28" s="1"/>
  <c r="K73" i="28" s="1"/>
  <c r="L73" i="28" s="1"/>
  <c r="M73" i="28" s="1"/>
  <c r="B126" i="28" s="1"/>
  <c r="A70" i="28"/>
  <c r="A123" i="28" s="1"/>
  <c r="A176" i="28" s="1"/>
  <c r="A229" i="28" s="1"/>
  <c r="Q18" i="28"/>
  <c r="R49" i="28"/>
  <c r="S49" i="28" s="1"/>
  <c r="T49" i="28" s="1"/>
  <c r="U49" i="28" s="1"/>
  <c r="V49" i="28" s="1"/>
  <c r="B101" i="28"/>
  <c r="N45" i="28"/>
  <c r="R24" i="28"/>
  <c r="S24" i="28" s="1"/>
  <c r="T24" i="28" s="1"/>
  <c r="U24" i="28" s="1"/>
  <c r="V24" i="28" s="1"/>
  <c r="B76" i="28"/>
  <c r="Q10" i="28"/>
  <c r="A63" i="28"/>
  <c r="A116" i="28" s="1"/>
  <c r="A169" i="28" s="1"/>
  <c r="A222" i="28" s="1"/>
  <c r="B98" i="28"/>
  <c r="N23" i="28"/>
  <c r="B75" i="28"/>
  <c r="R53" i="28"/>
  <c r="S53" i="28" s="1"/>
  <c r="T53" i="28" s="1"/>
  <c r="U53" i="28" s="1"/>
  <c r="V53" i="28" s="1"/>
  <c r="B105" i="28"/>
  <c r="N52" i="28"/>
  <c r="N22" i="28"/>
  <c r="Q20" i="28"/>
  <c r="A72" i="28"/>
  <c r="A125" i="28" s="1"/>
  <c r="A178" i="28" s="1"/>
  <c r="A231" i="28" s="1"/>
  <c r="C43" i="28"/>
  <c r="D43" i="28" s="1"/>
  <c r="E43" i="28" s="1"/>
  <c r="F43" i="28" s="1"/>
  <c r="G43" i="28" s="1"/>
  <c r="H43" i="28" s="1"/>
  <c r="I43" i="28" s="1"/>
  <c r="J43" i="28" s="1"/>
  <c r="K43" i="28" s="1"/>
  <c r="L43" i="28" s="1"/>
  <c r="M43" i="28" s="1"/>
  <c r="C41" i="28"/>
  <c r="D41" i="28" s="1"/>
  <c r="E41" i="28" s="1"/>
  <c r="F41" i="28" s="1"/>
  <c r="G41" i="28" s="1"/>
  <c r="H41" i="28" s="1"/>
  <c r="I41" i="28" s="1"/>
  <c r="J41" i="28" s="1"/>
  <c r="K41" i="28" s="1"/>
  <c r="L41" i="28" s="1"/>
  <c r="M41" i="28" s="1"/>
  <c r="C42" i="28"/>
  <c r="D42" i="28" s="1"/>
  <c r="E42" i="28" s="1"/>
  <c r="F42" i="28" s="1"/>
  <c r="G42" i="28" s="1"/>
  <c r="H42" i="28" s="1"/>
  <c r="I42" i="28" s="1"/>
  <c r="J42" i="28" s="1"/>
  <c r="K42" i="28" s="1"/>
  <c r="L42" i="28" s="1"/>
  <c r="M42" i="28" s="1"/>
  <c r="Q45" i="28"/>
  <c r="A40" i="28"/>
  <c r="Q43" i="28"/>
  <c r="Q44" i="28"/>
  <c r="N44" i="28"/>
  <c r="E46" i="28"/>
  <c r="F46" i="28" s="1"/>
  <c r="G46" i="28" s="1"/>
  <c r="H46" i="28" s="1"/>
  <c r="I46" i="28" s="1"/>
  <c r="J46" i="28" s="1"/>
  <c r="K46" i="28" s="1"/>
  <c r="L46" i="28" s="1"/>
  <c r="M46" i="28" s="1"/>
  <c r="N48" i="28"/>
  <c r="F47" i="28"/>
  <c r="G47" i="28" s="1"/>
  <c r="H47" i="28" s="1"/>
  <c r="I47" i="28" s="1"/>
  <c r="J47" i="28" s="1"/>
  <c r="K47" i="28" s="1"/>
  <c r="L47" i="28" s="1"/>
  <c r="M47" i="28" s="1"/>
  <c r="N20" i="28"/>
  <c r="N25" i="28"/>
  <c r="B17" i="28"/>
  <c r="C18" i="28"/>
  <c r="C19" i="28"/>
  <c r="D19" i="28" s="1"/>
  <c r="E19" i="28" s="1"/>
  <c r="F19" i="28" s="1"/>
  <c r="G19" i="28" s="1"/>
  <c r="H19" i="28" s="1"/>
  <c r="I19" i="28" s="1"/>
  <c r="J19" i="28" s="1"/>
  <c r="K19" i="28" s="1"/>
  <c r="L19" i="28" s="1"/>
  <c r="M19" i="28" s="1"/>
  <c r="Q33" i="28"/>
  <c r="Q32" i="28"/>
  <c r="Q31" i="28"/>
  <c r="Q14" i="28"/>
  <c r="Q15" i="28"/>
  <c r="B34" i="28" l="1" a="1"/>
  <c r="B34" i="28" s="1"/>
  <c r="B78" i="28"/>
  <c r="N49" i="28"/>
  <c r="N21" i="28"/>
  <c r="B74" i="28"/>
  <c r="C74" i="28" s="1"/>
  <c r="D74" i="28" s="1"/>
  <c r="E74" i="28" s="1"/>
  <c r="F74" i="28" s="1"/>
  <c r="G74" i="28" s="1"/>
  <c r="H74" i="28" s="1"/>
  <c r="I74" i="28" s="1"/>
  <c r="J74" i="28" s="1"/>
  <c r="K74" i="28" s="1"/>
  <c r="L74" i="28" s="1"/>
  <c r="M74" i="28" s="1"/>
  <c r="B127" i="28" s="1"/>
  <c r="M52" i="29"/>
  <c r="K52" i="29"/>
  <c r="N42" i="28"/>
  <c r="C39" i="28"/>
  <c r="D39" i="28" s="1"/>
  <c r="E39" i="28" s="1"/>
  <c r="F39" i="28" s="1"/>
  <c r="G39" i="28" s="1"/>
  <c r="H39" i="28" s="1"/>
  <c r="I39" i="28" s="1"/>
  <c r="J39" i="28" s="1"/>
  <c r="K39" i="28" s="1"/>
  <c r="L39" i="28" s="1"/>
  <c r="M39" i="28" s="1"/>
  <c r="C35" i="28"/>
  <c r="D35" i="28" s="1"/>
  <c r="E35" i="28" s="1"/>
  <c r="F35" i="28" s="1"/>
  <c r="G35" i="28" s="1"/>
  <c r="H35" i="28" s="1"/>
  <c r="I35" i="28" s="1"/>
  <c r="J35" i="28" s="1"/>
  <c r="K35" i="28" s="1"/>
  <c r="L35" i="28" s="1"/>
  <c r="M35" i="28" s="1"/>
  <c r="B88" i="28" s="1"/>
  <c r="C37" i="28"/>
  <c r="D37" i="28" s="1"/>
  <c r="E37" i="28" s="1"/>
  <c r="F37" i="28" s="1"/>
  <c r="G37" i="28" s="1"/>
  <c r="H37" i="28" s="1"/>
  <c r="I37" i="28" s="1"/>
  <c r="J37" i="28" s="1"/>
  <c r="K37" i="28" s="1"/>
  <c r="L37" i="28" s="1"/>
  <c r="M37" i="28" s="1"/>
  <c r="R38" i="28" s="1"/>
  <c r="S38" i="28" s="1"/>
  <c r="T38" i="28" s="1"/>
  <c r="U38" i="28" s="1"/>
  <c r="V38" i="28" s="1"/>
  <c r="C36" i="28"/>
  <c r="D36" i="28" s="1"/>
  <c r="E36" i="28" s="1"/>
  <c r="F36" i="28" s="1"/>
  <c r="G36" i="28" s="1"/>
  <c r="H36" i="28" s="1"/>
  <c r="I36" i="28" s="1"/>
  <c r="J36" i="28" s="1"/>
  <c r="K36" i="28" s="1"/>
  <c r="L36" i="28" s="1"/>
  <c r="M36" i="28" s="1"/>
  <c r="R37" i="28" s="1"/>
  <c r="S37" i="28" s="1"/>
  <c r="T37" i="28" s="1"/>
  <c r="U37" i="28" s="1"/>
  <c r="V37" i="28" s="1"/>
  <c r="C38" i="28"/>
  <c r="R51" i="28"/>
  <c r="S51" i="28" s="1"/>
  <c r="T51" i="28" s="1"/>
  <c r="U51" i="28" s="1"/>
  <c r="V51" i="28" s="1"/>
  <c r="L52" i="29"/>
  <c r="N50" i="28"/>
  <c r="C12" i="28"/>
  <c r="D12" i="28" s="1"/>
  <c r="E12" i="28" s="1"/>
  <c r="F12" i="28" s="1"/>
  <c r="G12" i="28" s="1"/>
  <c r="H12" i="28" s="1"/>
  <c r="I12" i="28" s="1"/>
  <c r="J12" i="28" s="1"/>
  <c r="K12" i="28" s="1"/>
  <c r="L12" i="28" s="1"/>
  <c r="M12" i="28" s="1"/>
  <c r="B65" i="28" s="1"/>
  <c r="C65" i="28" s="1"/>
  <c r="D65" i="28" s="1"/>
  <c r="E65" i="28" s="1"/>
  <c r="F65" i="28" s="1"/>
  <c r="G65" i="28" s="1"/>
  <c r="H65" i="28" s="1"/>
  <c r="I65" i="28" s="1"/>
  <c r="J65" i="28" s="1"/>
  <c r="K65" i="28" s="1"/>
  <c r="L65" i="28" s="1"/>
  <c r="M65" i="28" s="1"/>
  <c r="B118" i="28" s="1"/>
  <c r="C118" i="28" s="1"/>
  <c r="D118" i="28" s="1"/>
  <c r="E118" i="28" s="1"/>
  <c r="F118" i="28" s="1"/>
  <c r="G118" i="28" s="1"/>
  <c r="H118" i="28" s="1"/>
  <c r="I118" i="28" s="1"/>
  <c r="J118" i="28" s="1"/>
  <c r="K118" i="28" s="1"/>
  <c r="L118" i="28" s="1"/>
  <c r="M118" i="28" s="1"/>
  <c r="B171" i="28" s="1"/>
  <c r="C15" i="28"/>
  <c r="D15" i="28" s="1"/>
  <c r="E15" i="28" s="1"/>
  <c r="F15" i="28" s="1"/>
  <c r="G15" i="28" s="1"/>
  <c r="H15" i="28" s="1"/>
  <c r="I15" i="28" s="1"/>
  <c r="J15" i="28" s="1"/>
  <c r="K15" i="28" s="1"/>
  <c r="L15" i="28" s="1"/>
  <c r="M15" i="28" s="1"/>
  <c r="B68" i="28" s="1"/>
  <c r="N15" i="28"/>
  <c r="R15" i="28" s="1"/>
  <c r="C29" i="28"/>
  <c r="D29" i="28" s="1"/>
  <c r="E29" i="28" s="1"/>
  <c r="F29" i="28" s="1"/>
  <c r="G29" i="28" s="1"/>
  <c r="H29" i="28" s="1"/>
  <c r="I29" i="28" s="1"/>
  <c r="J29" i="28" s="1"/>
  <c r="K29" i="28" s="1"/>
  <c r="L29" i="28" s="1"/>
  <c r="M29" i="28" s="1"/>
  <c r="R30" i="28" s="1"/>
  <c r="S30" i="28" s="1"/>
  <c r="T30" i="28" s="1"/>
  <c r="U30" i="28" s="1"/>
  <c r="V30" i="28" s="1"/>
  <c r="C32" i="28"/>
  <c r="D32" i="28" s="1"/>
  <c r="E32" i="28" s="1"/>
  <c r="F32" i="28" s="1"/>
  <c r="G32" i="28" s="1"/>
  <c r="H32" i="28" s="1"/>
  <c r="I32" i="28" s="1"/>
  <c r="J32" i="28" s="1"/>
  <c r="K32" i="28" s="1"/>
  <c r="L32" i="28" s="1"/>
  <c r="M32" i="28" s="1"/>
  <c r="C31" i="28"/>
  <c r="D31" i="28" s="1"/>
  <c r="E31" i="28" s="1"/>
  <c r="F31" i="28" s="1"/>
  <c r="G31" i="28" s="1"/>
  <c r="H31" i="28" s="1"/>
  <c r="I31" i="28" s="1"/>
  <c r="J31" i="28" s="1"/>
  <c r="K31" i="28" s="1"/>
  <c r="L31" i="28" s="1"/>
  <c r="M31" i="28" s="1"/>
  <c r="C28" i="28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B26" i="28"/>
  <c r="C26" i="28" s="1"/>
  <c r="D26" i="28" s="1"/>
  <c r="E26" i="28" s="1"/>
  <c r="F26" i="28" s="1"/>
  <c r="G26" i="28" s="1"/>
  <c r="H26" i="28" s="1"/>
  <c r="I26" i="28" s="1"/>
  <c r="J26" i="28" s="1"/>
  <c r="K26" i="28" s="1"/>
  <c r="L26" i="28" s="1"/>
  <c r="M26" i="28" s="1"/>
  <c r="R27" i="28" s="1"/>
  <c r="S27" i="28" s="1"/>
  <c r="T27" i="28" s="1"/>
  <c r="U27" i="28" s="1"/>
  <c r="V27" i="28" s="1"/>
  <c r="C33" i="28"/>
  <c r="D33" i="28" s="1"/>
  <c r="E33" i="28" s="1"/>
  <c r="F33" i="28" s="1"/>
  <c r="G33" i="28" s="1"/>
  <c r="H33" i="28" s="1"/>
  <c r="I33" i="28" s="1"/>
  <c r="J33" i="28" s="1"/>
  <c r="K33" i="28" s="1"/>
  <c r="L33" i="28" s="1"/>
  <c r="M33" i="28" s="1"/>
  <c r="R34" i="28" s="1"/>
  <c r="S34" i="28" s="1"/>
  <c r="T34" i="28" s="1"/>
  <c r="U34" i="28" s="1"/>
  <c r="V34" i="28" s="1"/>
  <c r="C30" i="28"/>
  <c r="D30" i="28" s="1"/>
  <c r="E30" i="28" s="1"/>
  <c r="F30" i="28" s="1"/>
  <c r="G30" i="28" s="1"/>
  <c r="H30" i="28" s="1"/>
  <c r="I30" i="28" s="1"/>
  <c r="J30" i="28" s="1"/>
  <c r="K30" i="28" s="1"/>
  <c r="L30" i="28" s="1"/>
  <c r="M30" i="28" s="1"/>
  <c r="R31" i="28" s="1"/>
  <c r="S31" i="28" s="1"/>
  <c r="T31" i="28" s="1"/>
  <c r="U31" i="28" s="1"/>
  <c r="V31" i="28" s="1"/>
  <c r="C27" i="28"/>
  <c r="D27" i="28" s="1"/>
  <c r="E27" i="28" s="1"/>
  <c r="F27" i="28" s="1"/>
  <c r="G27" i="28" s="1"/>
  <c r="H27" i="28" s="1"/>
  <c r="I27" i="28" s="1"/>
  <c r="J27" i="28" s="1"/>
  <c r="K27" i="28" s="1"/>
  <c r="L27" i="28" s="1"/>
  <c r="M27" i="28" s="1"/>
  <c r="Q23" i="28"/>
  <c r="A75" i="28"/>
  <c r="A128" i="28" s="1"/>
  <c r="A181" i="28" s="1"/>
  <c r="A234" i="28" s="1"/>
  <c r="F52" i="29"/>
  <c r="B77" i="28"/>
  <c r="C77" i="28" s="1"/>
  <c r="D77" i="28" s="1"/>
  <c r="E77" i="28" s="1"/>
  <c r="F77" i="28" s="1"/>
  <c r="G77" i="28" s="1"/>
  <c r="H77" i="28" s="1"/>
  <c r="I77" i="28" s="1"/>
  <c r="J77" i="28" s="1"/>
  <c r="K77" i="28" s="1"/>
  <c r="L77" i="28" s="1"/>
  <c r="M77" i="28" s="1"/>
  <c r="B130" i="28" s="1"/>
  <c r="B183" i="28" s="1"/>
  <c r="Q13" i="28"/>
  <c r="A66" i="28"/>
  <c r="A119" i="28" s="1"/>
  <c r="A172" i="28" s="1"/>
  <c r="A225" i="28" s="1"/>
  <c r="N24" i="28"/>
  <c r="H52" i="29"/>
  <c r="P52" i="29"/>
  <c r="B10" i="28"/>
  <c r="B4" i="28" s="1"/>
  <c r="C15" i="9" s="1"/>
  <c r="K14" i="30"/>
  <c r="N14" i="28"/>
  <c r="R14" i="28" s="1"/>
  <c r="D9" i="28"/>
  <c r="E9" i="28" s="1"/>
  <c r="F9" i="28" s="1"/>
  <c r="G9" i="28" s="1"/>
  <c r="H9" i="28" s="1"/>
  <c r="I9" i="28" s="1"/>
  <c r="J9" i="28" s="1"/>
  <c r="K9" i="28" s="1"/>
  <c r="L9" i="28" s="1"/>
  <c r="M9" i="28" s="1"/>
  <c r="B62" i="28" s="1"/>
  <c r="C5" i="28"/>
  <c r="N172" i="28"/>
  <c r="U13" i="28" s="1"/>
  <c r="N119" i="28"/>
  <c r="T13" i="28" s="1"/>
  <c r="N59" i="28"/>
  <c r="S6" i="28" s="1"/>
  <c r="E17" i="30"/>
  <c r="N7" i="28"/>
  <c r="R7" i="28" s="1"/>
  <c r="N6" i="28"/>
  <c r="R6" i="28" s="1"/>
  <c r="N13" i="28"/>
  <c r="R13" i="28" s="1"/>
  <c r="N225" i="28"/>
  <c r="V13" i="28" s="1"/>
  <c r="C8" i="28"/>
  <c r="D8" i="28" s="1"/>
  <c r="E8" i="28" s="1"/>
  <c r="F8" i="28" s="1"/>
  <c r="G8" i="28" s="1"/>
  <c r="H8" i="28" s="1"/>
  <c r="I8" i="28" s="1"/>
  <c r="J8" i="28" s="1"/>
  <c r="K8" i="28" s="1"/>
  <c r="L8" i="28" s="1"/>
  <c r="M8" i="28" s="1"/>
  <c r="B61" i="28" s="1"/>
  <c r="N66" i="28"/>
  <c r="S13" i="28" s="1"/>
  <c r="Q18" i="30"/>
  <c r="D51" i="28"/>
  <c r="E51" i="28" s="1"/>
  <c r="F51" i="28" s="1"/>
  <c r="G51" i="28" s="1"/>
  <c r="H51" i="28" s="1"/>
  <c r="I51" i="28" s="1"/>
  <c r="J51" i="28" s="1"/>
  <c r="K51" i="28" s="1"/>
  <c r="L51" i="28" s="1"/>
  <c r="M51" i="28" s="1"/>
  <c r="G52" i="29"/>
  <c r="J52" i="29"/>
  <c r="O52" i="29"/>
  <c r="I52" i="29"/>
  <c r="B97" i="28"/>
  <c r="R45" i="28"/>
  <c r="S45" i="28" s="1"/>
  <c r="T45" i="28" s="1"/>
  <c r="U45" i="28" s="1"/>
  <c r="V45" i="28" s="1"/>
  <c r="N52" i="29"/>
  <c r="Q52" i="29"/>
  <c r="A87" i="28"/>
  <c r="A140" i="28" s="1"/>
  <c r="A193" i="28" s="1"/>
  <c r="A246" i="28" s="1"/>
  <c r="Q35" i="28"/>
  <c r="B82" i="28"/>
  <c r="C82" i="28" s="1"/>
  <c r="D82" i="28" s="1"/>
  <c r="E82" i="28" s="1"/>
  <c r="F82" i="28" s="1"/>
  <c r="G82" i="28" s="1"/>
  <c r="H82" i="28" s="1"/>
  <c r="I82" i="28" s="1"/>
  <c r="J82" i="28" s="1"/>
  <c r="K82" i="28" s="1"/>
  <c r="L82" i="28" s="1"/>
  <c r="M82" i="28" s="1"/>
  <c r="B135" i="28" s="1"/>
  <c r="C135" i="28" s="1"/>
  <c r="D135" i="28" s="1"/>
  <c r="E135" i="28" s="1"/>
  <c r="F135" i="28" s="1"/>
  <c r="G135" i="28" s="1"/>
  <c r="H135" i="28" s="1"/>
  <c r="I135" i="28" s="1"/>
  <c r="J135" i="28" s="1"/>
  <c r="K135" i="28" s="1"/>
  <c r="L135" i="28" s="1"/>
  <c r="M135" i="28" s="1"/>
  <c r="N37" i="28"/>
  <c r="R50" i="28"/>
  <c r="S50" i="28" s="1"/>
  <c r="T50" i="28" s="1"/>
  <c r="U50" i="28" s="1"/>
  <c r="V50" i="28" s="1"/>
  <c r="B102" i="28"/>
  <c r="N73" i="28"/>
  <c r="R42" i="28"/>
  <c r="S42" i="28" s="1"/>
  <c r="T42" i="28" s="1"/>
  <c r="U42" i="28" s="1"/>
  <c r="V42" i="28" s="1"/>
  <c r="B94" i="28"/>
  <c r="R44" i="28"/>
  <c r="S44" i="28" s="1"/>
  <c r="T44" i="28" s="1"/>
  <c r="U44" i="28" s="1"/>
  <c r="V44" i="28" s="1"/>
  <c r="B96" i="28"/>
  <c r="C112" i="28"/>
  <c r="D112" i="28" s="1"/>
  <c r="E112" i="28" s="1"/>
  <c r="F112" i="28" s="1"/>
  <c r="G112" i="28" s="1"/>
  <c r="H112" i="28" s="1"/>
  <c r="I112" i="28" s="1"/>
  <c r="J112" i="28" s="1"/>
  <c r="K112" i="28" s="1"/>
  <c r="L112" i="28" s="1"/>
  <c r="M112" i="28" s="1"/>
  <c r="B165" i="28" s="1"/>
  <c r="N41" i="28"/>
  <c r="C62" i="28"/>
  <c r="D62" i="28" s="1"/>
  <c r="E62" i="28" s="1"/>
  <c r="F62" i="28" s="1"/>
  <c r="G62" i="28" s="1"/>
  <c r="H62" i="28" s="1"/>
  <c r="I62" i="28" s="1"/>
  <c r="J62" i="28" s="1"/>
  <c r="K62" i="28" s="1"/>
  <c r="L62" i="28" s="1"/>
  <c r="M62" i="28" s="1"/>
  <c r="B115" i="28" s="1"/>
  <c r="R48" i="28"/>
  <c r="S48" i="28" s="1"/>
  <c r="T48" i="28" s="1"/>
  <c r="U48" i="28" s="1"/>
  <c r="V48" i="28" s="1"/>
  <c r="B100" i="28"/>
  <c r="N47" i="28"/>
  <c r="C76" i="28"/>
  <c r="D76" i="28" s="1"/>
  <c r="E76" i="28" s="1"/>
  <c r="F76" i="28" s="1"/>
  <c r="G76" i="28" s="1"/>
  <c r="H76" i="28" s="1"/>
  <c r="I76" i="28" s="1"/>
  <c r="J76" i="28" s="1"/>
  <c r="K76" i="28" s="1"/>
  <c r="L76" i="28" s="1"/>
  <c r="M76" i="28" s="1"/>
  <c r="B129" i="28" s="1"/>
  <c r="C103" i="28"/>
  <c r="D103" i="28" s="1"/>
  <c r="E103" i="28" s="1"/>
  <c r="F103" i="28" s="1"/>
  <c r="G103" i="28" s="1"/>
  <c r="H103" i="28" s="1"/>
  <c r="I103" i="28" s="1"/>
  <c r="J103" i="28" s="1"/>
  <c r="K103" i="28" s="1"/>
  <c r="L103" i="28" s="1"/>
  <c r="M103" i="28" s="1"/>
  <c r="B156" i="28" s="1"/>
  <c r="C120" i="28"/>
  <c r="D120" i="28" s="1"/>
  <c r="E120" i="28" s="1"/>
  <c r="F120" i="28" s="1"/>
  <c r="G120" i="28" s="1"/>
  <c r="H120" i="28" s="1"/>
  <c r="I120" i="28" s="1"/>
  <c r="J120" i="28" s="1"/>
  <c r="K120" i="28" s="1"/>
  <c r="L120" i="28" s="1"/>
  <c r="M120" i="28" s="1"/>
  <c r="B173" i="28" s="1"/>
  <c r="C101" i="28"/>
  <c r="D101" i="28" s="1"/>
  <c r="E101" i="28" s="1"/>
  <c r="F101" i="28" s="1"/>
  <c r="G101" i="28" s="1"/>
  <c r="H101" i="28" s="1"/>
  <c r="I101" i="28" s="1"/>
  <c r="J101" i="28" s="1"/>
  <c r="K101" i="28" s="1"/>
  <c r="L101" i="28" s="1"/>
  <c r="M101" i="28" s="1"/>
  <c r="B154" i="28" s="1"/>
  <c r="C17" i="28"/>
  <c r="C105" i="28"/>
  <c r="D105" i="28" s="1"/>
  <c r="E105" i="28" s="1"/>
  <c r="F105" i="28" s="1"/>
  <c r="G105" i="28" s="1"/>
  <c r="H105" i="28" s="1"/>
  <c r="I105" i="28" s="1"/>
  <c r="J105" i="28" s="1"/>
  <c r="K105" i="28" s="1"/>
  <c r="L105" i="28" s="1"/>
  <c r="M105" i="28" s="1"/>
  <c r="B158" i="28" s="1"/>
  <c r="N67" i="28"/>
  <c r="S14" i="28" s="1"/>
  <c r="D38" i="28"/>
  <c r="E38" i="28" s="1"/>
  <c r="F38" i="28" s="1"/>
  <c r="G38" i="28" s="1"/>
  <c r="H38" i="28" s="1"/>
  <c r="I38" i="28" s="1"/>
  <c r="J38" i="28" s="1"/>
  <c r="K38" i="28" s="1"/>
  <c r="L38" i="28" s="1"/>
  <c r="M38" i="28" s="1"/>
  <c r="R41" i="28"/>
  <c r="S41" i="28" s="1"/>
  <c r="T41" i="28" s="1"/>
  <c r="U41" i="28" s="1"/>
  <c r="V41" i="28" s="1"/>
  <c r="B93" i="28"/>
  <c r="R47" i="28"/>
  <c r="S47" i="28" s="1"/>
  <c r="T47" i="28" s="1"/>
  <c r="U47" i="28" s="1"/>
  <c r="V47" i="28" s="1"/>
  <c r="B99" i="28"/>
  <c r="N11" i="28"/>
  <c r="R11" i="28" s="1"/>
  <c r="R43" i="28"/>
  <c r="S43" i="28" s="1"/>
  <c r="T43" i="28" s="1"/>
  <c r="U43" i="28" s="1"/>
  <c r="V43" i="28" s="1"/>
  <c r="B95" i="28"/>
  <c r="C75" i="28"/>
  <c r="D75" i="28" s="1"/>
  <c r="E75" i="28" s="1"/>
  <c r="F75" i="28" s="1"/>
  <c r="G75" i="28" s="1"/>
  <c r="H75" i="28" s="1"/>
  <c r="I75" i="28" s="1"/>
  <c r="J75" i="28" s="1"/>
  <c r="K75" i="28" s="1"/>
  <c r="L75" i="28" s="1"/>
  <c r="M75" i="28" s="1"/>
  <c r="B128" i="28" s="1"/>
  <c r="C98" i="28"/>
  <c r="D98" i="28" s="1"/>
  <c r="E98" i="28" s="1"/>
  <c r="F98" i="28" s="1"/>
  <c r="G98" i="28" s="1"/>
  <c r="H98" i="28" s="1"/>
  <c r="I98" i="28" s="1"/>
  <c r="J98" i="28" s="1"/>
  <c r="K98" i="28" s="1"/>
  <c r="L98" i="28" s="1"/>
  <c r="M98" i="28" s="1"/>
  <c r="B151" i="28" s="1"/>
  <c r="N40" i="28"/>
  <c r="R20" i="28"/>
  <c r="S20" i="28" s="1"/>
  <c r="T20" i="28" s="1"/>
  <c r="U20" i="28" s="1"/>
  <c r="V20" i="28" s="1"/>
  <c r="B72" i="28"/>
  <c r="D18" i="28"/>
  <c r="E18" i="28" s="1"/>
  <c r="F18" i="28" s="1"/>
  <c r="G18" i="28" s="1"/>
  <c r="H18" i="28" s="1"/>
  <c r="I18" i="28" s="1"/>
  <c r="J18" i="28" s="1"/>
  <c r="K18" i="28" s="1"/>
  <c r="L18" i="28" s="1"/>
  <c r="M18" i="28" s="1"/>
  <c r="N18" i="28"/>
  <c r="Q41" i="28"/>
  <c r="A93" i="28"/>
  <c r="A146" i="28" s="1"/>
  <c r="A199" i="28" s="1"/>
  <c r="A252" i="28" s="1"/>
  <c r="C126" i="28"/>
  <c r="D126" i="28" s="1"/>
  <c r="E126" i="28" s="1"/>
  <c r="F126" i="28" s="1"/>
  <c r="G126" i="28" s="1"/>
  <c r="H126" i="28" s="1"/>
  <c r="I126" i="28" s="1"/>
  <c r="J126" i="28" s="1"/>
  <c r="K126" i="28" s="1"/>
  <c r="L126" i="28" s="1"/>
  <c r="M126" i="28" s="1"/>
  <c r="B179" i="28"/>
  <c r="C78" i="28"/>
  <c r="D78" i="28" s="1"/>
  <c r="E78" i="28" s="1"/>
  <c r="F78" i="28" s="1"/>
  <c r="G78" i="28" s="1"/>
  <c r="H78" i="28" s="1"/>
  <c r="I78" i="28" s="1"/>
  <c r="J78" i="28" s="1"/>
  <c r="K78" i="28" s="1"/>
  <c r="L78" i="28" s="1"/>
  <c r="M78" i="28" s="1"/>
  <c r="B131" i="28" s="1"/>
  <c r="C64" i="28"/>
  <c r="D64" i="28" s="1"/>
  <c r="E64" i="28" s="1"/>
  <c r="F64" i="28" s="1"/>
  <c r="G64" i="28" s="1"/>
  <c r="H64" i="28" s="1"/>
  <c r="I64" i="28" s="1"/>
  <c r="J64" i="28" s="1"/>
  <c r="K64" i="28" s="1"/>
  <c r="L64" i="28" s="1"/>
  <c r="M64" i="28" s="1"/>
  <c r="B117" i="28" s="1"/>
  <c r="C60" i="28"/>
  <c r="D60" i="28" s="1"/>
  <c r="E60" i="28" s="1"/>
  <c r="F60" i="28" s="1"/>
  <c r="G60" i="28" s="1"/>
  <c r="H60" i="28" s="1"/>
  <c r="I60" i="28" s="1"/>
  <c r="J60" i="28" s="1"/>
  <c r="K60" i="28" s="1"/>
  <c r="L60" i="28" s="1"/>
  <c r="M60" i="28" s="1"/>
  <c r="B113" i="28" s="1"/>
  <c r="N19" i="28"/>
  <c r="N46" i="28"/>
  <c r="N43" i="28"/>
  <c r="C34" i="28" l="1"/>
  <c r="D34" i="28" s="1"/>
  <c r="E34" i="28" s="1"/>
  <c r="F34" i="28" s="1"/>
  <c r="G34" i="28" s="1"/>
  <c r="H34" i="28" s="1"/>
  <c r="I34" i="28" s="1"/>
  <c r="J34" i="28" s="1"/>
  <c r="K34" i="28" s="1"/>
  <c r="L34" i="28" s="1"/>
  <c r="M34" i="28" s="1"/>
  <c r="B16" i="28"/>
  <c r="C16" i="9" s="1"/>
  <c r="B90" i="28"/>
  <c r="N78" i="28"/>
  <c r="C17" i="9"/>
  <c r="N35" i="28"/>
  <c r="N39" i="28"/>
  <c r="N36" i="28"/>
  <c r="R36" i="28"/>
  <c r="S36" i="28" s="1"/>
  <c r="T36" i="28" s="1"/>
  <c r="U36" i="28" s="1"/>
  <c r="V36" i="28" s="1"/>
  <c r="B89" i="28"/>
  <c r="N120" i="28"/>
  <c r="T14" i="28" s="1"/>
  <c r="N9" i="28"/>
  <c r="R9" i="28" s="1"/>
  <c r="N98" i="28"/>
  <c r="N12" i="28"/>
  <c r="R12" i="28" s="1"/>
  <c r="N28" i="28"/>
  <c r="B79" i="28"/>
  <c r="N33" i="28"/>
  <c r="B86" i="28"/>
  <c r="C86" i="28" s="1"/>
  <c r="D86" i="28" s="1"/>
  <c r="E86" i="28" s="1"/>
  <c r="F86" i="28" s="1"/>
  <c r="G86" i="28" s="1"/>
  <c r="H86" i="28" s="1"/>
  <c r="I86" i="28" s="1"/>
  <c r="J86" i="28" s="1"/>
  <c r="K86" i="28" s="1"/>
  <c r="L86" i="28" s="1"/>
  <c r="M86" i="28" s="1"/>
  <c r="B139" i="28" s="1"/>
  <c r="N65" i="28"/>
  <c r="S12" i="28" s="1"/>
  <c r="N26" i="28"/>
  <c r="N74" i="28"/>
  <c r="B92" i="28"/>
  <c r="R40" i="28"/>
  <c r="S40" i="28" s="1"/>
  <c r="T40" i="28" s="1"/>
  <c r="U40" i="28" s="1"/>
  <c r="V40" i="28" s="1"/>
  <c r="B85" i="28"/>
  <c r="C85" i="28" s="1"/>
  <c r="D85" i="28" s="1"/>
  <c r="E85" i="28" s="1"/>
  <c r="F85" i="28" s="1"/>
  <c r="G85" i="28" s="1"/>
  <c r="H85" i="28" s="1"/>
  <c r="I85" i="28" s="1"/>
  <c r="J85" i="28" s="1"/>
  <c r="K85" i="28" s="1"/>
  <c r="L85" i="28" s="1"/>
  <c r="M85" i="28" s="1"/>
  <c r="B138" i="28" s="1"/>
  <c r="C138" i="28" s="1"/>
  <c r="D138" i="28" s="1"/>
  <c r="E138" i="28" s="1"/>
  <c r="F138" i="28" s="1"/>
  <c r="G138" i="28" s="1"/>
  <c r="H138" i="28" s="1"/>
  <c r="I138" i="28" s="1"/>
  <c r="J138" i="28" s="1"/>
  <c r="K138" i="28" s="1"/>
  <c r="L138" i="28" s="1"/>
  <c r="M138" i="28" s="1"/>
  <c r="R33" i="28"/>
  <c r="S33" i="28" s="1"/>
  <c r="T33" i="28" s="1"/>
  <c r="U33" i="28" s="1"/>
  <c r="V33" i="28" s="1"/>
  <c r="N31" i="28"/>
  <c r="N77" i="28"/>
  <c r="N32" i="28"/>
  <c r="C130" i="28"/>
  <c r="D130" i="28" s="1"/>
  <c r="E130" i="28" s="1"/>
  <c r="F130" i="28" s="1"/>
  <c r="G130" i="28" s="1"/>
  <c r="H130" i="28" s="1"/>
  <c r="I130" i="28" s="1"/>
  <c r="J130" i="28" s="1"/>
  <c r="K130" i="28" s="1"/>
  <c r="L130" i="28" s="1"/>
  <c r="M130" i="28" s="1"/>
  <c r="B80" i="28"/>
  <c r="C80" i="28" s="1"/>
  <c r="D80" i="28" s="1"/>
  <c r="E80" i="28" s="1"/>
  <c r="F80" i="28" s="1"/>
  <c r="G80" i="28" s="1"/>
  <c r="H80" i="28" s="1"/>
  <c r="I80" i="28" s="1"/>
  <c r="J80" i="28" s="1"/>
  <c r="K80" i="28" s="1"/>
  <c r="L80" i="28" s="1"/>
  <c r="M80" i="28" s="1"/>
  <c r="B133" i="28" s="1"/>
  <c r="B186" i="28" s="1"/>
  <c r="R28" i="28"/>
  <c r="S28" i="28" s="1"/>
  <c r="T28" i="28" s="1"/>
  <c r="U28" i="28" s="1"/>
  <c r="V28" i="28" s="1"/>
  <c r="N27" i="28"/>
  <c r="R32" i="28"/>
  <c r="S32" i="28" s="1"/>
  <c r="T32" i="28" s="1"/>
  <c r="U32" i="28" s="1"/>
  <c r="V32" i="28" s="1"/>
  <c r="B84" i="28"/>
  <c r="C84" i="28" s="1"/>
  <c r="D84" i="28" s="1"/>
  <c r="E84" i="28" s="1"/>
  <c r="F84" i="28" s="1"/>
  <c r="G84" i="28" s="1"/>
  <c r="H84" i="28" s="1"/>
  <c r="I84" i="28" s="1"/>
  <c r="J84" i="28" s="1"/>
  <c r="K84" i="28" s="1"/>
  <c r="L84" i="28" s="1"/>
  <c r="M84" i="28" s="1"/>
  <c r="B137" i="28" s="1"/>
  <c r="C137" i="28" s="1"/>
  <c r="D137" i="28" s="1"/>
  <c r="E137" i="28" s="1"/>
  <c r="F137" i="28" s="1"/>
  <c r="G137" i="28" s="1"/>
  <c r="H137" i="28" s="1"/>
  <c r="I137" i="28" s="1"/>
  <c r="J137" i="28" s="1"/>
  <c r="K137" i="28" s="1"/>
  <c r="L137" i="28" s="1"/>
  <c r="M137" i="28" s="1"/>
  <c r="R52" i="29"/>
  <c r="R65" i="29" s="1"/>
  <c r="N29" i="28"/>
  <c r="B188" i="28"/>
  <c r="N82" i="28"/>
  <c r="B83" i="28"/>
  <c r="C83" i="28" s="1"/>
  <c r="D83" i="28" s="1"/>
  <c r="E83" i="28" s="1"/>
  <c r="F83" i="28" s="1"/>
  <c r="G83" i="28" s="1"/>
  <c r="H83" i="28" s="1"/>
  <c r="I83" i="28" s="1"/>
  <c r="J83" i="28" s="1"/>
  <c r="K83" i="28" s="1"/>
  <c r="L83" i="28" s="1"/>
  <c r="M83" i="28" s="1"/>
  <c r="B136" i="28" s="1"/>
  <c r="C68" i="28"/>
  <c r="D68" i="28" s="1"/>
  <c r="E68" i="28" s="1"/>
  <c r="F68" i="28" s="1"/>
  <c r="G68" i="28" s="1"/>
  <c r="H68" i="28" s="1"/>
  <c r="I68" i="28" s="1"/>
  <c r="J68" i="28" s="1"/>
  <c r="K68" i="28" s="1"/>
  <c r="L68" i="28" s="1"/>
  <c r="M68" i="28" s="1"/>
  <c r="B121" i="28" s="1"/>
  <c r="N68" i="28"/>
  <c r="S15" i="28" s="1"/>
  <c r="N135" i="28"/>
  <c r="N30" i="28"/>
  <c r="N101" i="28"/>
  <c r="B81" i="28"/>
  <c r="C81" i="28" s="1"/>
  <c r="D81" i="28" s="1"/>
  <c r="E81" i="28" s="1"/>
  <c r="F81" i="28" s="1"/>
  <c r="G81" i="28" s="1"/>
  <c r="H81" i="28" s="1"/>
  <c r="I81" i="28" s="1"/>
  <c r="J81" i="28" s="1"/>
  <c r="K81" i="28" s="1"/>
  <c r="L81" i="28" s="1"/>
  <c r="M81" i="28" s="1"/>
  <c r="B134" i="28" s="1"/>
  <c r="C134" i="28" s="1"/>
  <c r="D134" i="28" s="1"/>
  <c r="E134" i="28" s="1"/>
  <c r="F134" i="28" s="1"/>
  <c r="G134" i="28" s="1"/>
  <c r="H134" i="28" s="1"/>
  <c r="I134" i="28" s="1"/>
  <c r="J134" i="28" s="1"/>
  <c r="K134" i="28" s="1"/>
  <c r="L134" i="28" s="1"/>
  <c r="M134" i="28" s="1"/>
  <c r="R29" i="28"/>
  <c r="S29" i="28" s="1"/>
  <c r="T29" i="28" s="1"/>
  <c r="U29" i="28" s="1"/>
  <c r="V29" i="28" s="1"/>
  <c r="B53" i="28"/>
  <c r="C10" i="28"/>
  <c r="D10" i="28" s="1"/>
  <c r="E10" i="28" s="1"/>
  <c r="F10" i="28" s="1"/>
  <c r="G10" i="28" s="1"/>
  <c r="H10" i="28" s="1"/>
  <c r="I10" i="28" s="1"/>
  <c r="J10" i="28" s="1"/>
  <c r="K10" i="28" s="1"/>
  <c r="L10" i="28" s="1"/>
  <c r="M10" i="28" s="1"/>
  <c r="B63" i="28" s="1"/>
  <c r="D5" i="28"/>
  <c r="N8" i="28"/>
  <c r="R8" i="28" s="1"/>
  <c r="N62" i="28"/>
  <c r="S9" i="28" s="1"/>
  <c r="C61" i="28"/>
  <c r="D61" i="28" s="1"/>
  <c r="E61" i="28" s="1"/>
  <c r="F61" i="28" s="1"/>
  <c r="G61" i="28" s="1"/>
  <c r="H61" i="28" s="1"/>
  <c r="I61" i="28" s="1"/>
  <c r="J61" i="28" s="1"/>
  <c r="K61" i="28" s="1"/>
  <c r="L61" i="28" s="1"/>
  <c r="M61" i="28" s="1"/>
  <c r="B114" i="28" s="1"/>
  <c r="N118" i="28"/>
  <c r="T12" i="28" s="1"/>
  <c r="N60" i="28"/>
  <c r="S7" i="28" s="1"/>
  <c r="N112" i="28"/>
  <c r="T6" i="28" s="1"/>
  <c r="N64" i="28"/>
  <c r="S11" i="28" s="1"/>
  <c r="C102" i="28"/>
  <c r="D102" i="28" s="1"/>
  <c r="E102" i="28" s="1"/>
  <c r="F102" i="28" s="1"/>
  <c r="G102" i="28" s="1"/>
  <c r="H102" i="28" s="1"/>
  <c r="I102" i="28" s="1"/>
  <c r="J102" i="28" s="1"/>
  <c r="K102" i="28" s="1"/>
  <c r="L102" i="28" s="1"/>
  <c r="M102" i="28" s="1"/>
  <c r="B155" i="28" s="1"/>
  <c r="N38" i="28"/>
  <c r="C97" i="28"/>
  <c r="D97" i="28" s="1"/>
  <c r="E97" i="28" s="1"/>
  <c r="F97" i="28" s="1"/>
  <c r="G97" i="28" s="1"/>
  <c r="H97" i="28" s="1"/>
  <c r="I97" i="28" s="1"/>
  <c r="J97" i="28" s="1"/>
  <c r="K97" i="28" s="1"/>
  <c r="L97" i="28" s="1"/>
  <c r="M97" i="28" s="1"/>
  <c r="B150" i="28" s="1"/>
  <c r="N105" i="28"/>
  <c r="C127" i="28"/>
  <c r="D127" i="28" s="1"/>
  <c r="E127" i="28" s="1"/>
  <c r="F127" i="28" s="1"/>
  <c r="G127" i="28" s="1"/>
  <c r="H127" i="28" s="1"/>
  <c r="I127" i="28" s="1"/>
  <c r="J127" i="28" s="1"/>
  <c r="K127" i="28" s="1"/>
  <c r="L127" i="28" s="1"/>
  <c r="M127" i="28" s="1"/>
  <c r="B180" i="28"/>
  <c r="N75" i="28"/>
  <c r="N51" i="28"/>
  <c r="R52" i="28"/>
  <c r="S52" i="28" s="1"/>
  <c r="T52" i="28" s="1"/>
  <c r="U52" i="28" s="1"/>
  <c r="V52" i="28" s="1"/>
  <c r="B104" i="28"/>
  <c r="R19" i="28"/>
  <c r="S19" i="28" s="1"/>
  <c r="T19" i="28" s="1"/>
  <c r="U19" i="28" s="1"/>
  <c r="V19" i="28" s="1"/>
  <c r="B71" i="28"/>
  <c r="C89" i="28"/>
  <c r="D89" i="28" s="1"/>
  <c r="E89" i="28" s="1"/>
  <c r="F89" i="28" s="1"/>
  <c r="G89" i="28" s="1"/>
  <c r="H89" i="28" s="1"/>
  <c r="I89" i="28" s="1"/>
  <c r="J89" i="28" s="1"/>
  <c r="K89" i="28" s="1"/>
  <c r="L89" i="28" s="1"/>
  <c r="M89" i="28" s="1"/>
  <c r="B142" i="28" s="1"/>
  <c r="C131" i="28"/>
  <c r="D131" i="28" s="1"/>
  <c r="E131" i="28" s="1"/>
  <c r="F131" i="28" s="1"/>
  <c r="G131" i="28" s="1"/>
  <c r="H131" i="28" s="1"/>
  <c r="I131" i="28" s="1"/>
  <c r="J131" i="28" s="1"/>
  <c r="K131" i="28" s="1"/>
  <c r="L131" i="28" s="1"/>
  <c r="M131" i="28" s="1"/>
  <c r="B184" i="28"/>
  <c r="C90" i="28"/>
  <c r="D90" i="28" s="1"/>
  <c r="E90" i="28" s="1"/>
  <c r="F90" i="28" s="1"/>
  <c r="G90" i="28" s="1"/>
  <c r="H90" i="28" s="1"/>
  <c r="I90" i="28" s="1"/>
  <c r="J90" i="28" s="1"/>
  <c r="K90" i="28" s="1"/>
  <c r="L90" i="28" s="1"/>
  <c r="M90" i="28" s="1"/>
  <c r="B143" i="28" s="1"/>
  <c r="C183" i="28"/>
  <c r="D183" i="28" s="1"/>
  <c r="E183" i="28" s="1"/>
  <c r="F183" i="28" s="1"/>
  <c r="G183" i="28" s="1"/>
  <c r="H183" i="28" s="1"/>
  <c r="I183" i="28" s="1"/>
  <c r="J183" i="28" s="1"/>
  <c r="K183" i="28" s="1"/>
  <c r="L183" i="28" s="1"/>
  <c r="M183" i="28" s="1"/>
  <c r="B236" i="28"/>
  <c r="N103" i="28"/>
  <c r="C96" i="28"/>
  <c r="D96" i="28" s="1"/>
  <c r="E96" i="28" s="1"/>
  <c r="F96" i="28" s="1"/>
  <c r="G96" i="28" s="1"/>
  <c r="H96" i="28" s="1"/>
  <c r="I96" i="28" s="1"/>
  <c r="J96" i="28" s="1"/>
  <c r="K96" i="28" s="1"/>
  <c r="L96" i="28" s="1"/>
  <c r="M96" i="28" s="1"/>
  <c r="B149" i="28" s="1"/>
  <c r="N96" i="28"/>
  <c r="C179" i="28"/>
  <c r="D179" i="28" s="1"/>
  <c r="E179" i="28" s="1"/>
  <c r="F179" i="28" s="1"/>
  <c r="G179" i="28" s="1"/>
  <c r="H179" i="28" s="1"/>
  <c r="I179" i="28" s="1"/>
  <c r="J179" i="28" s="1"/>
  <c r="K179" i="28" s="1"/>
  <c r="L179" i="28" s="1"/>
  <c r="M179" i="28" s="1"/>
  <c r="B232" i="28"/>
  <c r="R35" i="28"/>
  <c r="S35" i="28" s="1"/>
  <c r="T35" i="28" s="1"/>
  <c r="U35" i="28" s="1"/>
  <c r="V35" i="28" s="1"/>
  <c r="B87" i="28"/>
  <c r="C158" i="28"/>
  <c r="D158" i="28" s="1"/>
  <c r="E158" i="28" s="1"/>
  <c r="F158" i="28" s="1"/>
  <c r="G158" i="28" s="1"/>
  <c r="H158" i="28" s="1"/>
  <c r="I158" i="28" s="1"/>
  <c r="J158" i="28" s="1"/>
  <c r="K158" i="28" s="1"/>
  <c r="L158" i="28" s="1"/>
  <c r="M158" i="28" s="1"/>
  <c r="B211" i="28"/>
  <c r="C154" i="28"/>
  <c r="D154" i="28" s="1"/>
  <c r="E154" i="28" s="1"/>
  <c r="F154" i="28" s="1"/>
  <c r="G154" i="28" s="1"/>
  <c r="H154" i="28" s="1"/>
  <c r="I154" i="28" s="1"/>
  <c r="J154" i="28" s="1"/>
  <c r="K154" i="28" s="1"/>
  <c r="L154" i="28" s="1"/>
  <c r="M154" i="28" s="1"/>
  <c r="B207" i="28"/>
  <c r="C100" i="28"/>
  <c r="D100" i="28" s="1"/>
  <c r="E100" i="28" s="1"/>
  <c r="F100" i="28" s="1"/>
  <c r="G100" i="28" s="1"/>
  <c r="H100" i="28" s="1"/>
  <c r="I100" i="28" s="1"/>
  <c r="J100" i="28" s="1"/>
  <c r="K100" i="28" s="1"/>
  <c r="L100" i="28" s="1"/>
  <c r="M100" i="28" s="1"/>
  <c r="B153" i="28" s="1"/>
  <c r="C95" i="28"/>
  <c r="D95" i="28" s="1"/>
  <c r="E95" i="28" s="1"/>
  <c r="F95" i="28" s="1"/>
  <c r="G95" i="28" s="1"/>
  <c r="H95" i="28" s="1"/>
  <c r="I95" i="28" s="1"/>
  <c r="J95" i="28" s="1"/>
  <c r="K95" i="28" s="1"/>
  <c r="L95" i="28" s="1"/>
  <c r="M95" i="28" s="1"/>
  <c r="B148" i="28" s="1"/>
  <c r="C156" i="28"/>
  <c r="D156" i="28" s="1"/>
  <c r="E156" i="28" s="1"/>
  <c r="F156" i="28" s="1"/>
  <c r="G156" i="28" s="1"/>
  <c r="H156" i="28" s="1"/>
  <c r="I156" i="28" s="1"/>
  <c r="J156" i="28" s="1"/>
  <c r="K156" i="28" s="1"/>
  <c r="L156" i="28" s="1"/>
  <c r="M156" i="28" s="1"/>
  <c r="B209" i="28"/>
  <c r="C72" i="28"/>
  <c r="D72" i="28" s="1"/>
  <c r="E72" i="28" s="1"/>
  <c r="F72" i="28" s="1"/>
  <c r="G72" i="28" s="1"/>
  <c r="H72" i="28" s="1"/>
  <c r="I72" i="28" s="1"/>
  <c r="J72" i="28" s="1"/>
  <c r="K72" i="28" s="1"/>
  <c r="L72" i="28" s="1"/>
  <c r="M72" i="28" s="1"/>
  <c r="B125" i="28" s="1"/>
  <c r="E5" i="28"/>
  <c r="N34" i="28"/>
  <c r="C94" i="28"/>
  <c r="D94" i="28" s="1"/>
  <c r="E94" i="28" s="1"/>
  <c r="F94" i="28" s="1"/>
  <c r="G94" i="28" s="1"/>
  <c r="H94" i="28" s="1"/>
  <c r="I94" i="28" s="1"/>
  <c r="J94" i="28" s="1"/>
  <c r="K94" i="28" s="1"/>
  <c r="L94" i="28" s="1"/>
  <c r="M94" i="28" s="1"/>
  <c r="B147" i="28" s="1"/>
  <c r="C165" i="28"/>
  <c r="D165" i="28" s="1"/>
  <c r="E165" i="28" s="1"/>
  <c r="F165" i="28" s="1"/>
  <c r="G165" i="28" s="1"/>
  <c r="H165" i="28" s="1"/>
  <c r="I165" i="28" s="1"/>
  <c r="J165" i="28" s="1"/>
  <c r="K165" i="28" s="1"/>
  <c r="L165" i="28" s="1"/>
  <c r="M165" i="28" s="1"/>
  <c r="B218" i="28" s="1"/>
  <c r="C113" i="28"/>
  <c r="D113" i="28" s="1"/>
  <c r="E113" i="28" s="1"/>
  <c r="F113" i="28" s="1"/>
  <c r="G113" i="28" s="1"/>
  <c r="H113" i="28" s="1"/>
  <c r="I113" i="28" s="1"/>
  <c r="J113" i="28" s="1"/>
  <c r="K113" i="28" s="1"/>
  <c r="L113" i="28" s="1"/>
  <c r="M113" i="28" s="1"/>
  <c r="B166" i="28" s="1"/>
  <c r="N126" i="28"/>
  <c r="C151" i="28"/>
  <c r="D151" i="28" s="1"/>
  <c r="E151" i="28" s="1"/>
  <c r="F151" i="28" s="1"/>
  <c r="G151" i="28" s="1"/>
  <c r="H151" i="28" s="1"/>
  <c r="I151" i="28" s="1"/>
  <c r="J151" i="28" s="1"/>
  <c r="K151" i="28" s="1"/>
  <c r="L151" i="28" s="1"/>
  <c r="M151" i="28" s="1"/>
  <c r="B204" i="28"/>
  <c r="C99" i="28"/>
  <c r="D99" i="28" s="1"/>
  <c r="E99" i="28" s="1"/>
  <c r="F99" i="28" s="1"/>
  <c r="G99" i="28" s="1"/>
  <c r="H99" i="28" s="1"/>
  <c r="I99" i="28" s="1"/>
  <c r="J99" i="28" s="1"/>
  <c r="K99" i="28" s="1"/>
  <c r="L99" i="28" s="1"/>
  <c r="M99" i="28" s="1"/>
  <c r="B152" i="28" s="1"/>
  <c r="C93" i="28"/>
  <c r="D93" i="28" s="1"/>
  <c r="E93" i="28" s="1"/>
  <c r="F93" i="28" s="1"/>
  <c r="G93" i="28" s="1"/>
  <c r="H93" i="28" s="1"/>
  <c r="I93" i="28" s="1"/>
  <c r="J93" i="28" s="1"/>
  <c r="K93" i="28" s="1"/>
  <c r="L93" i="28" s="1"/>
  <c r="M93" i="28" s="1"/>
  <c r="B146" i="28" s="1"/>
  <c r="C16" i="28"/>
  <c r="D16" i="9" s="1"/>
  <c r="D17" i="28"/>
  <c r="C173" i="28"/>
  <c r="D173" i="28" s="1"/>
  <c r="E173" i="28" s="1"/>
  <c r="F173" i="28" s="1"/>
  <c r="G173" i="28" s="1"/>
  <c r="H173" i="28" s="1"/>
  <c r="I173" i="28" s="1"/>
  <c r="J173" i="28" s="1"/>
  <c r="K173" i="28" s="1"/>
  <c r="L173" i="28" s="1"/>
  <c r="M173" i="28" s="1"/>
  <c r="B226" i="28" s="1"/>
  <c r="N76" i="28"/>
  <c r="C115" i="28"/>
  <c r="D115" i="28" s="1"/>
  <c r="E115" i="28" s="1"/>
  <c r="F115" i="28" s="1"/>
  <c r="G115" i="28" s="1"/>
  <c r="H115" i="28" s="1"/>
  <c r="I115" i="28" s="1"/>
  <c r="J115" i="28" s="1"/>
  <c r="K115" i="28" s="1"/>
  <c r="L115" i="28" s="1"/>
  <c r="M115" i="28" s="1"/>
  <c r="B168" i="28" s="1"/>
  <c r="C129" i="28"/>
  <c r="D129" i="28" s="1"/>
  <c r="E129" i="28" s="1"/>
  <c r="F129" i="28" s="1"/>
  <c r="G129" i="28" s="1"/>
  <c r="H129" i="28" s="1"/>
  <c r="I129" i="28" s="1"/>
  <c r="J129" i="28" s="1"/>
  <c r="K129" i="28" s="1"/>
  <c r="L129" i="28" s="1"/>
  <c r="M129" i="28" s="1"/>
  <c r="B182" i="28"/>
  <c r="C88" i="28"/>
  <c r="D88" i="28" s="1"/>
  <c r="E88" i="28" s="1"/>
  <c r="F88" i="28" s="1"/>
  <c r="G88" i="28" s="1"/>
  <c r="H88" i="28" s="1"/>
  <c r="I88" i="28" s="1"/>
  <c r="J88" i="28" s="1"/>
  <c r="K88" i="28" s="1"/>
  <c r="L88" i="28" s="1"/>
  <c r="M88" i="28" s="1"/>
  <c r="B141" i="28" s="1"/>
  <c r="C171" i="28"/>
  <c r="D171" i="28" s="1"/>
  <c r="E171" i="28" s="1"/>
  <c r="F171" i="28" s="1"/>
  <c r="G171" i="28" s="1"/>
  <c r="H171" i="28" s="1"/>
  <c r="I171" i="28" s="1"/>
  <c r="J171" i="28" s="1"/>
  <c r="K171" i="28" s="1"/>
  <c r="L171" i="28" s="1"/>
  <c r="M171" i="28" s="1"/>
  <c r="B224" i="28" s="1"/>
  <c r="C117" i="28"/>
  <c r="D117" i="28" s="1"/>
  <c r="E117" i="28" s="1"/>
  <c r="F117" i="28" s="1"/>
  <c r="G117" i="28" s="1"/>
  <c r="H117" i="28" s="1"/>
  <c r="I117" i="28" s="1"/>
  <c r="J117" i="28" s="1"/>
  <c r="K117" i="28" s="1"/>
  <c r="L117" i="28" s="1"/>
  <c r="M117" i="28" s="1"/>
  <c r="B170" i="28" s="1"/>
  <c r="C128" i="28"/>
  <c r="D128" i="28" s="1"/>
  <c r="E128" i="28" s="1"/>
  <c r="F128" i="28" s="1"/>
  <c r="G128" i="28" s="1"/>
  <c r="H128" i="28" s="1"/>
  <c r="I128" i="28" s="1"/>
  <c r="J128" i="28" s="1"/>
  <c r="K128" i="28" s="1"/>
  <c r="L128" i="28" s="1"/>
  <c r="M128" i="28" s="1"/>
  <c r="B181" i="28"/>
  <c r="C188" i="28"/>
  <c r="D188" i="28" s="1"/>
  <c r="E188" i="28" s="1"/>
  <c r="F188" i="28" s="1"/>
  <c r="G188" i="28" s="1"/>
  <c r="H188" i="28" s="1"/>
  <c r="I188" i="28" s="1"/>
  <c r="J188" i="28" s="1"/>
  <c r="K188" i="28" s="1"/>
  <c r="L188" i="28" s="1"/>
  <c r="M188" i="28" s="1"/>
  <c r="B241" i="28"/>
  <c r="R39" i="28"/>
  <c r="S39" i="28" s="1"/>
  <c r="T39" i="28" s="1"/>
  <c r="U39" i="28" s="1"/>
  <c r="V39" i="28" s="1"/>
  <c r="B91" i="28"/>
  <c r="C79" i="28"/>
  <c r="D79" i="28" s="1"/>
  <c r="E79" i="28" s="1"/>
  <c r="F79" i="28" s="1"/>
  <c r="G79" i="28" s="1"/>
  <c r="H79" i="28" s="1"/>
  <c r="I79" i="28" s="1"/>
  <c r="J79" i="28" s="1"/>
  <c r="K79" i="28" s="1"/>
  <c r="L79" i="28" s="1"/>
  <c r="M79" i="28" s="1"/>
  <c r="B132" i="28" s="1"/>
  <c r="N151" i="28" l="1"/>
  <c r="D44" i="38"/>
  <c r="D4" i="28"/>
  <c r="E15" i="9" s="1"/>
  <c r="N85" i="28"/>
  <c r="N90" i="28"/>
  <c r="C92" i="28"/>
  <c r="D92" i="28" s="1"/>
  <c r="E92" i="28" s="1"/>
  <c r="F92" i="28" s="1"/>
  <c r="G92" i="28" s="1"/>
  <c r="H92" i="28" s="1"/>
  <c r="I92" i="28" s="1"/>
  <c r="J92" i="28" s="1"/>
  <c r="K92" i="28" s="1"/>
  <c r="L92" i="28" s="1"/>
  <c r="M92" i="28" s="1"/>
  <c r="B145" i="28" s="1"/>
  <c r="B191" i="28"/>
  <c r="C191" i="28" s="1"/>
  <c r="D191" i="28" s="1"/>
  <c r="E191" i="28" s="1"/>
  <c r="F191" i="28" s="1"/>
  <c r="G191" i="28" s="1"/>
  <c r="H191" i="28" s="1"/>
  <c r="I191" i="28" s="1"/>
  <c r="J191" i="28" s="1"/>
  <c r="K191" i="28" s="1"/>
  <c r="L191" i="28" s="1"/>
  <c r="M191" i="28" s="1"/>
  <c r="N84" i="28"/>
  <c r="N81" i="28"/>
  <c r="B187" i="28"/>
  <c r="C187" i="28" s="1"/>
  <c r="D187" i="28" s="1"/>
  <c r="E187" i="28" s="1"/>
  <c r="F187" i="28" s="1"/>
  <c r="G187" i="28" s="1"/>
  <c r="H187" i="28" s="1"/>
  <c r="I187" i="28" s="1"/>
  <c r="J187" i="28" s="1"/>
  <c r="K187" i="28" s="1"/>
  <c r="L187" i="28" s="1"/>
  <c r="M187" i="28" s="1"/>
  <c r="C121" i="28"/>
  <c r="D121" i="28" s="1"/>
  <c r="E121" i="28" s="1"/>
  <c r="F121" i="28" s="1"/>
  <c r="G121" i="28" s="1"/>
  <c r="H121" i="28" s="1"/>
  <c r="I121" i="28" s="1"/>
  <c r="J121" i="28" s="1"/>
  <c r="K121" i="28" s="1"/>
  <c r="L121" i="28" s="1"/>
  <c r="M121" i="28" s="1"/>
  <c r="B174" i="28" s="1"/>
  <c r="N130" i="28"/>
  <c r="B190" i="28"/>
  <c r="B243" i="28" s="1"/>
  <c r="N83" i="28"/>
  <c r="C133" i="28"/>
  <c r="D133" i="28" s="1"/>
  <c r="E133" i="28" s="1"/>
  <c r="F133" i="28" s="1"/>
  <c r="G133" i="28" s="1"/>
  <c r="H133" i="28" s="1"/>
  <c r="I133" i="28" s="1"/>
  <c r="J133" i="28" s="1"/>
  <c r="K133" i="28" s="1"/>
  <c r="L133" i="28" s="1"/>
  <c r="M133" i="28" s="1"/>
  <c r="N173" i="28"/>
  <c r="U14" i="28" s="1"/>
  <c r="N80" i="28"/>
  <c r="N97" i="28"/>
  <c r="C63" i="28"/>
  <c r="D63" i="28" s="1"/>
  <c r="E63" i="28" s="1"/>
  <c r="F63" i="28" s="1"/>
  <c r="G63" i="28" s="1"/>
  <c r="H63" i="28" s="1"/>
  <c r="I63" i="28" s="1"/>
  <c r="J63" i="28" s="1"/>
  <c r="K63" i="28" s="1"/>
  <c r="L63" i="28" s="1"/>
  <c r="M63" i="28" s="1"/>
  <c r="B116" i="28" s="1"/>
  <c r="N63" i="28"/>
  <c r="S10" i="28" s="1"/>
  <c r="N10" i="28"/>
  <c r="R10" i="28" s="1"/>
  <c r="C4" i="28"/>
  <c r="D15" i="9" s="1"/>
  <c r="N115" i="28"/>
  <c r="T9" i="28" s="1"/>
  <c r="N61" i="28"/>
  <c r="S8" i="28" s="1"/>
  <c r="C114" i="28"/>
  <c r="D114" i="28" s="1"/>
  <c r="E114" i="28" s="1"/>
  <c r="F114" i="28" s="1"/>
  <c r="G114" i="28" s="1"/>
  <c r="H114" i="28" s="1"/>
  <c r="I114" i="28" s="1"/>
  <c r="J114" i="28" s="1"/>
  <c r="K114" i="28" s="1"/>
  <c r="L114" i="28" s="1"/>
  <c r="M114" i="28" s="1"/>
  <c r="B167" i="28" s="1"/>
  <c r="N113" i="28"/>
  <c r="T7" i="28" s="1"/>
  <c r="N183" i="28"/>
  <c r="N154" i="28"/>
  <c r="N137" i="28"/>
  <c r="N86" i="28"/>
  <c r="C139" i="28"/>
  <c r="B192" i="28"/>
  <c r="C136" i="28"/>
  <c r="D136" i="28" s="1"/>
  <c r="E136" i="28" s="1"/>
  <c r="F136" i="28" s="1"/>
  <c r="G136" i="28" s="1"/>
  <c r="H136" i="28" s="1"/>
  <c r="I136" i="28" s="1"/>
  <c r="J136" i="28" s="1"/>
  <c r="K136" i="28" s="1"/>
  <c r="L136" i="28" s="1"/>
  <c r="M136" i="28" s="1"/>
  <c r="B189" i="28"/>
  <c r="N129" i="28"/>
  <c r="N156" i="28"/>
  <c r="N158" i="28"/>
  <c r="N179" i="28"/>
  <c r="B203" i="28"/>
  <c r="C150" i="28"/>
  <c r="D150" i="28" s="1"/>
  <c r="E150" i="28" s="1"/>
  <c r="F150" i="28" s="1"/>
  <c r="G150" i="28" s="1"/>
  <c r="H150" i="28" s="1"/>
  <c r="I150" i="28" s="1"/>
  <c r="J150" i="28" s="1"/>
  <c r="K150" i="28" s="1"/>
  <c r="L150" i="28" s="1"/>
  <c r="M150" i="28" s="1"/>
  <c r="N127" i="28"/>
  <c r="N94" i="28"/>
  <c r="N131" i="28"/>
  <c r="C180" i="28"/>
  <c r="B233" i="28"/>
  <c r="N102" i="28"/>
  <c r="N72" i="28"/>
  <c r="C104" i="28"/>
  <c r="D104" i="28" s="1"/>
  <c r="E104" i="28" s="1"/>
  <c r="F104" i="28" s="1"/>
  <c r="G104" i="28" s="1"/>
  <c r="H104" i="28" s="1"/>
  <c r="I104" i="28" s="1"/>
  <c r="J104" i="28" s="1"/>
  <c r="K104" i="28" s="1"/>
  <c r="L104" i="28" s="1"/>
  <c r="M104" i="28" s="1"/>
  <c r="B157" i="28" s="1"/>
  <c r="C155" i="28"/>
  <c r="D155" i="28" s="1"/>
  <c r="E155" i="28" s="1"/>
  <c r="F155" i="28" s="1"/>
  <c r="G155" i="28" s="1"/>
  <c r="H155" i="28" s="1"/>
  <c r="I155" i="28" s="1"/>
  <c r="J155" i="28" s="1"/>
  <c r="K155" i="28" s="1"/>
  <c r="L155" i="28" s="1"/>
  <c r="M155" i="28" s="1"/>
  <c r="B208" i="28"/>
  <c r="C142" i="28"/>
  <c r="D142" i="28" s="1"/>
  <c r="E142" i="28" s="1"/>
  <c r="F142" i="28" s="1"/>
  <c r="G142" i="28" s="1"/>
  <c r="H142" i="28" s="1"/>
  <c r="I142" i="28" s="1"/>
  <c r="J142" i="28" s="1"/>
  <c r="K142" i="28" s="1"/>
  <c r="L142" i="28" s="1"/>
  <c r="M142" i="28" s="1"/>
  <c r="B195" i="28"/>
  <c r="C168" i="28"/>
  <c r="D168" i="28" s="1"/>
  <c r="E168" i="28" s="1"/>
  <c r="F168" i="28" s="1"/>
  <c r="G168" i="28" s="1"/>
  <c r="H168" i="28" s="1"/>
  <c r="I168" i="28" s="1"/>
  <c r="J168" i="28" s="1"/>
  <c r="K168" i="28" s="1"/>
  <c r="L168" i="28" s="1"/>
  <c r="M168" i="28" s="1"/>
  <c r="B221" i="28" s="1"/>
  <c r="C232" i="28"/>
  <c r="D232" i="28" s="1"/>
  <c r="E232" i="28" s="1"/>
  <c r="F232" i="28" s="1"/>
  <c r="G232" i="28" s="1"/>
  <c r="H232" i="28" s="1"/>
  <c r="I232" i="28" s="1"/>
  <c r="J232" i="28" s="1"/>
  <c r="K232" i="28" s="1"/>
  <c r="L232" i="28" s="1"/>
  <c r="M232" i="28" s="1"/>
  <c r="C152" i="28"/>
  <c r="D152" i="28" s="1"/>
  <c r="E152" i="28" s="1"/>
  <c r="F152" i="28" s="1"/>
  <c r="G152" i="28" s="1"/>
  <c r="H152" i="28" s="1"/>
  <c r="I152" i="28" s="1"/>
  <c r="J152" i="28" s="1"/>
  <c r="K152" i="28" s="1"/>
  <c r="L152" i="28" s="1"/>
  <c r="M152" i="28" s="1"/>
  <c r="B205" i="28"/>
  <c r="C147" i="28"/>
  <c r="D147" i="28" s="1"/>
  <c r="E147" i="28" s="1"/>
  <c r="F147" i="28" s="1"/>
  <c r="G147" i="28" s="1"/>
  <c r="H147" i="28" s="1"/>
  <c r="I147" i="28" s="1"/>
  <c r="J147" i="28" s="1"/>
  <c r="K147" i="28" s="1"/>
  <c r="L147" i="28" s="1"/>
  <c r="M147" i="28" s="1"/>
  <c r="B200" i="28"/>
  <c r="N147" i="28"/>
  <c r="C148" i="28"/>
  <c r="D148" i="28" s="1"/>
  <c r="E148" i="28" s="1"/>
  <c r="F148" i="28" s="1"/>
  <c r="G148" i="28" s="1"/>
  <c r="H148" i="28" s="1"/>
  <c r="I148" i="28" s="1"/>
  <c r="J148" i="28" s="1"/>
  <c r="K148" i="28" s="1"/>
  <c r="L148" i="28" s="1"/>
  <c r="M148" i="28" s="1"/>
  <c r="B201" i="28"/>
  <c r="C143" i="28"/>
  <c r="D143" i="28" s="1"/>
  <c r="E143" i="28" s="1"/>
  <c r="F143" i="28" s="1"/>
  <c r="G143" i="28" s="1"/>
  <c r="H143" i="28" s="1"/>
  <c r="I143" i="28" s="1"/>
  <c r="J143" i="28" s="1"/>
  <c r="K143" i="28" s="1"/>
  <c r="L143" i="28" s="1"/>
  <c r="M143" i="28" s="1"/>
  <c r="B196" i="28"/>
  <c r="E4" i="28"/>
  <c r="F15" i="9" s="1"/>
  <c r="F5" i="28"/>
  <c r="C170" i="28"/>
  <c r="D170" i="28" s="1"/>
  <c r="E170" i="28" s="1"/>
  <c r="F170" i="28" s="1"/>
  <c r="G170" i="28" s="1"/>
  <c r="H170" i="28" s="1"/>
  <c r="I170" i="28" s="1"/>
  <c r="J170" i="28" s="1"/>
  <c r="K170" i="28" s="1"/>
  <c r="L170" i="28" s="1"/>
  <c r="M170" i="28" s="1"/>
  <c r="B223" i="28" s="1"/>
  <c r="N93" i="28"/>
  <c r="C224" i="28"/>
  <c r="D224" i="28" s="1"/>
  <c r="E224" i="28" s="1"/>
  <c r="F224" i="28" s="1"/>
  <c r="G224" i="28" s="1"/>
  <c r="H224" i="28" s="1"/>
  <c r="I224" i="28" s="1"/>
  <c r="J224" i="28" s="1"/>
  <c r="K224" i="28" s="1"/>
  <c r="L224" i="28" s="1"/>
  <c r="M224" i="28" s="1"/>
  <c r="N99" i="28"/>
  <c r="N95" i="28"/>
  <c r="C149" i="28"/>
  <c r="D149" i="28" s="1"/>
  <c r="E149" i="28" s="1"/>
  <c r="F149" i="28" s="1"/>
  <c r="G149" i="28" s="1"/>
  <c r="H149" i="28" s="1"/>
  <c r="I149" i="28" s="1"/>
  <c r="J149" i="28" s="1"/>
  <c r="K149" i="28" s="1"/>
  <c r="L149" i="28" s="1"/>
  <c r="M149" i="28" s="1"/>
  <c r="B202" i="28"/>
  <c r="C91" i="28"/>
  <c r="D91" i="28" s="1"/>
  <c r="E91" i="28" s="1"/>
  <c r="F91" i="28" s="1"/>
  <c r="G91" i="28" s="1"/>
  <c r="H91" i="28" s="1"/>
  <c r="I91" i="28" s="1"/>
  <c r="J91" i="28" s="1"/>
  <c r="K91" i="28" s="1"/>
  <c r="L91" i="28" s="1"/>
  <c r="M91" i="28" s="1"/>
  <c r="B144" i="28" s="1"/>
  <c r="C182" i="28"/>
  <c r="D182" i="28" s="1"/>
  <c r="E182" i="28" s="1"/>
  <c r="F182" i="28" s="1"/>
  <c r="G182" i="28" s="1"/>
  <c r="H182" i="28" s="1"/>
  <c r="I182" i="28" s="1"/>
  <c r="J182" i="28" s="1"/>
  <c r="K182" i="28" s="1"/>
  <c r="L182" i="28" s="1"/>
  <c r="M182" i="28" s="1"/>
  <c r="B235" i="28"/>
  <c r="N182" i="28"/>
  <c r="N171" i="28"/>
  <c r="U12" i="28" s="1"/>
  <c r="N134" i="28"/>
  <c r="C226" i="28"/>
  <c r="D226" i="28" s="1"/>
  <c r="E226" i="28" s="1"/>
  <c r="F226" i="28" s="1"/>
  <c r="G226" i="28" s="1"/>
  <c r="H226" i="28" s="1"/>
  <c r="I226" i="28" s="1"/>
  <c r="J226" i="28" s="1"/>
  <c r="K226" i="28" s="1"/>
  <c r="L226" i="28" s="1"/>
  <c r="M226" i="28" s="1"/>
  <c r="C204" i="28"/>
  <c r="D204" i="28" s="1"/>
  <c r="E204" i="28" s="1"/>
  <c r="F204" i="28" s="1"/>
  <c r="G204" i="28" s="1"/>
  <c r="H204" i="28" s="1"/>
  <c r="I204" i="28" s="1"/>
  <c r="J204" i="28" s="1"/>
  <c r="K204" i="28" s="1"/>
  <c r="L204" i="28" s="1"/>
  <c r="M204" i="28" s="1"/>
  <c r="B257" i="28"/>
  <c r="N165" i="28"/>
  <c r="U6" i="28" s="1"/>
  <c r="C125" i="28"/>
  <c r="D125" i="28" s="1"/>
  <c r="E125" i="28" s="1"/>
  <c r="F125" i="28" s="1"/>
  <c r="G125" i="28" s="1"/>
  <c r="H125" i="28" s="1"/>
  <c r="I125" i="28" s="1"/>
  <c r="J125" i="28" s="1"/>
  <c r="K125" i="28" s="1"/>
  <c r="L125" i="28" s="1"/>
  <c r="M125" i="28" s="1"/>
  <c r="N125" i="28"/>
  <c r="B178" i="28"/>
  <c r="N100" i="28"/>
  <c r="C87" i="28"/>
  <c r="D87" i="28" s="1"/>
  <c r="E87" i="28" s="1"/>
  <c r="F87" i="28" s="1"/>
  <c r="G87" i="28" s="1"/>
  <c r="H87" i="28" s="1"/>
  <c r="I87" i="28" s="1"/>
  <c r="J87" i="28" s="1"/>
  <c r="K87" i="28" s="1"/>
  <c r="L87" i="28" s="1"/>
  <c r="M87" i="28" s="1"/>
  <c r="B140" i="28" s="1"/>
  <c r="C184" i="28"/>
  <c r="D184" i="28" s="1"/>
  <c r="E184" i="28" s="1"/>
  <c r="F184" i="28" s="1"/>
  <c r="G184" i="28" s="1"/>
  <c r="H184" i="28" s="1"/>
  <c r="I184" i="28" s="1"/>
  <c r="J184" i="28" s="1"/>
  <c r="K184" i="28" s="1"/>
  <c r="L184" i="28" s="1"/>
  <c r="M184" i="28" s="1"/>
  <c r="B237" i="28"/>
  <c r="N184" i="28"/>
  <c r="C209" i="28"/>
  <c r="D209" i="28" s="1"/>
  <c r="E209" i="28" s="1"/>
  <c r="F209" i="28" s="1"/>
  <c r="G209" i="28" s="1"/>
  <c r="H209" i="28" s="1"/>
  <c r="I209" i="28" s="1"/>
  <c r="J209" i="28" s="1"/>
  <c r="K209" i="28" s="1"/>
  <c r="L209" i="28" s="1"/>
  <c r="M209" i="28" s="1"/>
  <c r="B262" i="28"/>
  <c r="N138" i="28"/>
  <c r="C166" i="28"/>
  <c r="D166" i="28" s="1"/>
  <c r="E166" i="28" s="1"/>
  <c r="F166" i="28" s="1"/>
  <c r="G166" i="28" s="1"/>
  <c r="H166" i="28" s="1"/>
  <c r="I166" i="28" s="1"/>
  <c r="J166" i="28" s="1"/>
  <c r="K166" i="28" s="1"/>
  <c r="L166" i="28" s="1"/>
  <c r="M166" i="28" s="1"/>
  <c r="B219" i="28" s="1"/>
  <c r="N117" i="28"/>
  <c r="T11" i="28" s="1"/>
  <c r="C132" i="28"/>
  <c r="D132" i="28" s="1"/>
  <c r="E132" i="28" s="1"/>
  <c r="F132" i="28" s="1"/>
  <c r="G132" i="28" s="1"/>
  <c r="H132" i="28" s="1"/>
  <c r="I132" i="28" s="1"/>
  <c r="J132" i="28" s="1"/>
  <c r="K132" i="28" s="1"/>
  <c r="L132" i="28" s="1"/>
  <c r="M132" i="28" s="1"/>
  <c r="B185" i="28"/>
  <c r="C181" i="28"/>
  <c r="D181" i="28" s="1"/>
  <c r="E181" i="28" s="1"/>
  <c r="F181" i="28" s="1"/>
  <c r="G181" i="28" s="1"/>
  <c r="H181" i="28" s="1"/>
  <c r="I181" i="28" s="1"/>
  <c r="J181" i="28" s="1"/>
  <c r="K181" i="28" s="1"/>
  <c r="L181" i="28" s="1"/>
  <c r="M181" i="28" s="1"/>
  <c r="B234" i="28"/>
  <c r="N181" i="28"/>
  <c r="N88" i="28"/>
  <c r="B239" i="28"/>
  <c r="C186" i="28"/>
  <c r="D186" i="28" s="1"/>
  <c r="E186" i="28" s="1"/>
  <c r="F186" i="28" s="1"/>
  <c r="G186" i="28" s="1"/>
  <c r="H186" i="28" s="1"/>
  <c r="I186" i="28" s="1"/>
  <c r="J186" i="28" s="1"/>
  <c r="K186" i="28" s="1"/>
  <c r="L186" i="28" s="1"/>
  <c r="M186" i="28" s="1"/>
  <c r="D16" i="28"/>
  <c r="E17" i="28"/>
  <c r="C218" i="28"/>
  <c r="D218" i="28" s="1"/>
  <c r="E218" i="28" s="1"/>
  <c r="F218" i="28" s="1"/>
  <c r="G218" i="28" s="1"/>
  <c r="H218" i="28" s="1"/>
  <c r="I218" i="28" s="1"/>
  <c r="J218" i="28" s="1"/>
  <c r="K218" i="28" s="1"/>
  <c r="L218" i="28" s="1"/>
  <c r="M218" i="28" s="1"/>
  <c r="C153" i="28"/>
  <c r="D153" i="28" s="1"/>
  <c r="E153" i="28" s="1"/>
  <c r="F153" i="28" s="1"/>
  <c r="G153" i="28" s="1"/>
  <c r="H153" i="28" s="1"/>
  <c r="I153" i="28" s="1"/>
  <c r="J153" i="28" s="1"/>
  <c r="K153" i="28" s="1"/>
  <c r="L153" i="28" s="1"/>
  <c r="M153" i="28" s="1"/>
  <c r="B206" i="28"/>
  <c r="C146" i="28"/>
  <c r="D146" i="28" s="1"/>
  <c r="E146" i="28" s="1"/>
  <c r="F146" i="28" s="1"/>
  <c r="G146" i="28" s="1"/>
  <c r="H146" i="28" s="1"/>
  <c r="I146" i="28" s="1"/>
  <c r="J146" i="28" s="1"/>
  <c r="K146" i="28" s="1"/>
  <c r="L146" i="28" s="1"/>
  <c r="M146" i="28" s="1"/>
  <c r="B199" i="28"/>
  <c r="N89" i="28"/>
  <c r="C241" i="28"/>
  <c r="D241" i="28" s="1"/>
  <c r="E241" i="28" s="1"/>
  <c r="F241" i="28" s="1"/>
  <c r="G241" i="28" s="1"/>
  <c r="H241" i="28" s="1"/>
  <c r="I241" i="28" s="1"/>
  <c r="J241" i="28" s="1"/>
  <c r="K241" i="28" s="1"/>
  <c r="L241" i="28" s="1"/>
  <c r="M241" i="28" s="1"/>
  <c r="N241" i="28"/>
  <c r="B264" i="28"/>
  <c r="C211" i="28"/>
  <c r="D211" i="28" s="1"/>
  <c r="E211" i="28" s="1"/>
  <c r="F211" i="28" s="1"/>
  <c r="G211" i="28" s="1"/>
  <c r="H211" i="28" s="1"/>
  <c r="I211" i="28" s="1"/>
  <c r="J211" i="28" s="1"/>
  <c r="K211" i="28" s="1"/>
  <c r="L211" i="28" s="1"/>
  <c r="M211" i="28" s="1"/>
  <c r="C71" i="28"/>
  <c r="D71" i="28" s="1"/>
  <c r="E71" i="28" s="1"/>
  <c r="F71" i="28" s="1"/>
  <c r="G71" i="28" s="1"/>
  <c r="H71" i="28" s="1"/>
  <c r="I71" i="28" s="1"/>
  <c r="J71" i="28" s="1"/>
  <c r="K71" i="28" s="1"/>
  <c r="L71" i="28" s="1"/>
  <c r="M71" i="28" s="1"/>
  <c r="B124" i="28" s="1"/>
  <c r="N188" i="28"/>
  <c r="N79" i="28"/>
  <c r="N128" i="28"/>
  <c r="C141" i="28"/>
  <c r="D141" i="28" s="1"/>
  <c r="E141" i="28" s="1"/>
  <c r="F141" i="28" s="1"/>
  <c r="G141" i="28" s="1"/>
  <c r="H141" i="28" s="1"/>
  <c r="I141" i="28" s="1"/>
  <c r="J141" i="28" s="1"/>
  <c r="K141" i="28" s="1"/>
  <c r="L141" i="28" s="1"/>
  <c r="M141" i="28" s="1"/>
  <c r="B194" i="28"/>
  <c r="C207" i="28"/>
  <c r="D207" i="28" s="1"/>
  <c r="E207" i="28" s="1"/>
  <c r="F207" i="28" s="1"/>
  <c r="G207" i="28" s="1"/>
  <c r="H207" i="28" s="1"/>
  <c r="I207" i="28" s="1"/>
  <c r="J207" i="28" s="1"/>
  <c r="K207" i="28" s="1"/>
  <c r="L207" i="28" s="1"/>
  <c r="M207" i="28" s="1"/>
  <c r="B260" i="28"/>
  <c r="C236" i="28"/>
  <c r="D236" i="28" s="1"/>
  <c r="E236" i="28" s="1"/>
  <c r="F236" i="28" s="1"/>
  <c r="G236" i="28" s="1"/>
  <c r="H236" i="28" s="1"/>
  <c r="I236" i="28" s="1"/>
  <c r="J236" i="28" s="1"/>
  <c r="K236" i="28" s="1"/>
  <c r="L236" i="28" s="1"/>
  <c r="M236" i="28" s="1"/>
  <c r="F45" i="38" l="1"/>
  <c r="L10" i="38"/>
  <c r="N121" i="28"/>
  <c r="T15" i="28" s="1"/>
  <c r="B244" i="28"/>
  <c r="C190" i="28"/>
  <c r="D190" i="28" s="1"/>
  <c r="E190" i="28" s="1"/>
  <c r="F190" i="28" s="1"/>
  <c r="G190" i="28" s="1"/>
  <c r="H190" i="28" s="1"/>
  <c r="I190" i="28" s="1"/>
  <c r="J190" i="28" s="1"/>
  <c r="K190" i="28" s="1"/>
  <c r="L190" i="28" s="1"/>
  <c r="M190" i="28" s="1"/>
  <c r="B198" i="28"/>
  <c r="C145" i="28"/>
  <c r="N92" i="28"/>
  <c r="B240" i="28"/>
  <c r="C240" i="28" s="1"/>
  <c r="D240" i="28" s="1"/>
  <c r="E240" i="28" s="1"/>
  <c r="F240" i="28" s="1"/>
  <c r="G240" i="28" s="1"/>
  <c r="H240" i="28" s="1"/>
  <c r="I240" i="28" s="1"/>
  <c r="J240" i="28" s="1"/>
  <c r="K240" i="28" s="1"/>
  <c r="L240" i="28" s="1"/>
  <c r="M240" i="28" s="1"/>
  <c r="N155" i="28"/>
  <c r="D53" i="28"/>
  <c r="E16" i="9"/>
  <c r="N133" i="28"/>
  <c r="N153" i="28"/>
  <c r="N136" i="28"/>
  <c r="C174" i="28"/>
  <c r="D174" i="28" s="1"/>
  <c r="E174" i="28" s="1"/>
  <c r="F174" i="28" s="1"/>
  <c r="G174" i="28" s="1"/>
  <c r="H174" i="28" s="1"/>
  <c r="I174" i="28" s="1"/>
  <c r="J174" i="28" s="1"/>
  <c r="K174" i="28" s="1"/>
  <c r="L174" i="28" s="1"/>
  <c r="M174" i="28" s="1"/>
  <c r="B227" i="28" s="1"/>
  <c r="N149" i="28"/>
  <c r="N186" i="28"/>
  <c r="N187" i="28"/>
  <c r="C53" i="28"/>
  <c r="C116" i="28"/>
  <c r="D116" i="28" s="1"/>
  <c r="E116" i="28" s="1"/>
  <c r="F116" i="28" s="1"/>
  <c r="G116" i="28" s="1"/>
  <c r="H116" i="28" s="1"/>
  <c r="I116" i="28" s="1"/>
  <c r="J116" i="28" s="1"/>
  <c r="K116" i="28" s="1"/>
  <c r="L116" i="28" s="1"/>
  <c r="M116" i="28" s="1"/>
  <c r="B169" i="28" s="1"/>
  <c r="N116" i="28"/>
  <c r="T10" i="28" s="1"/>
  <c r="N226" i="28"/>
  <c r="V14" i="28" s="1"/>
  <c r="N114" i="28"/>
  <c r="T8" i="28" s="1"/>
  <c r="N218" i="28"/>
  <c r="V6" i="28" s="1"/>
  <c r="N166" i="28"/>
  <c r="U7" i="28" s="1"/>
  <c r="C167" i="28"/>
  <c r="D167" i="28" s="1"/>
  <c r="E167" i="28" s="1"/>
  <c r="F167" i="28" s="1"/>
  <c r="G167" i="28" s="1"/>
  <c r="H167" i="28" s="1"/>
  <c r="I167" i="28" s="1"/>
  <c r="J167" i="28" s="1"/>
  <c r="K167" i="28" s="1"/>
  <c r="L167" i="28" s="1"/>
  <c r="M167" i="28" s="1"/>
  <c r="B220" i="28" s="1"/>
  <c r="N209" i="28"/>
  <c r="C203" i="28"/>
  <c r="B256" i="28"/>
  <c r="C256" i="28" s="1"/>
  <c r="D256" i="28" s="1"/>
  <c r="E256" i="28" s="1"/>
  <c r="F256" i="28" s="1"/>
  <c r="G256" i="28" s="1"/>
  <c r="H256" i="28" s="1"/>
  <c r="I256" i="28" s="1"/>
  <c r="J256" i="28" s="1"/>
  <c r="K256" i="28" s="1"/>
  <c r="L256" i="28" s="1"/>
  <c r="M256" i="28" s="1"/>
  <c r="B245" i="28"/>
  <c r="C192" i="28"/>
  <c r="D192" i="28" s="1"/>
  <c r="E192" i="28" s="1"/>
  <c r="F192" i="28" s="1"/>
  <c r="G192" i="28" s="1"/>
  <c r="H192" i="28" s="1"/>
  <c r="I192" i="28" s="1"/>
  <c r="J192" i="28" s="1"/>
  <c r="K192" i="28" s="1"/>
  <c r="L192" i="28" s="1"/>
  <c r="M192" i="28" s="1"/>
  <c r="C233" i="28"/>
  <c r="D233" i="28" s="1"/>
  <c r="E233" i="28" s="1"/>
  <c r="F233" i="28" s="1"/>
  <c r="G233" i="28" s="1"/>
  <c r="H233" i="28" s="1"/>
  <c r="I233" i="28" s="1"/>
  <c r="J233" i="28" s="1"/>
  <c r="K233" i="28" s="1"/>
  <c r="L233" i="28" s="1"/>
  <c r="M233" i="28" s="1"/>
  <c r="D139" i="28"/>
  <c r="E139" i="28" s="1"/>
  <c r="F139" i="28" s="1"/>
  <c r="G139" i="28" s="1"/>
  <c r="H139" i="28" s="1"/>
  <c r="I139" i="28" s="1"/>
  <c r="J139" i="28" s="1"/>
  <c r="K139" i="28" s="1"/>
  <c r="L139" i="28" s="1"/>
  <c r="M139" i="28" s="1"/>
  <c r="N139" i="28"/>
  <c r="C208" i="28"/>
  <c r="D208" i="28" s="1"/>
  <c r="E208" i="28" s="1"/>
  <c r="F208" i="28" s="1"/>
  <c r="G208" i="28" s="1"/>
  <c r="H208" i="28" s="1"/>
  <c r="I208" i="28" s="1"/>
  <c r="J208" i="28" s="1"/>
  <c r="K208" i="28" s="1"/>
  <c r="L208" i="28" s="1"/>
  <c r="M208" i="28" s="1"/>
  <c r="N208" i="28" s="1"/>
  <c r="B261" i="28"/>
  <c r="D180" i="28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/>
  <c r="N71" i="28"/>
  <c r="N143" i="28"/>
  <c r="N104" i="28"/>
  <c r="C189" i="28"/>
  <c r="D189" i="28" s="1"/>
  <c r="E189" i="28" s="1"/>
  <c r="F189" i="28" s="1"/>
  <c r="G189" i="28" s="1"/>
  <c r="H189" i="28" s="1"/>
  <c r="I189" i="28" s="1"/>
  <c r="J189" i="28" s="1"/>
  <c r="K189" i="28" s="1"/>
  <c r="L189" i="28" s="1"/>
  <c r="M189" i="28" s="1"/>
  <c r="B242" i="28"/>
  <c r="N190" i="28"/>
  <c r="B210" i="28"/>
  <c r="C157" i="28"/>
  <c r="D157" i="28" s="1"/>
  <c r="E157" i="28" s="1"/>
  <c r="F157" i="28" s="1"/>
  <c r="G157" i="28" s="1"/>
  <c r="H157" i="28" s="1"/>
  <c r="I157" i="28" s="1"/>
  <c r="J157" i="28" s="1"/>
  <c r="K157" i="28" s="1"/>
  <c r="L157" i="28" s="1"/>
  <c r="M157" i="28" s="1"/>
  <c r="N150" i="28"/>
  <c r="C223" i="28"/>
  <c r="D223" i="28" s="1"/>
  <c r="E223" i="28" s="1"/>
  <c r="F223" i="28" s="1"/>
  <c r="G223" i="28" s="1"/>
  <c r="H223" i="28" s="1"/>
  <c r="I223" i="28" s="1"/>
  <c r="J223" i="28" s="1"/>
  <c r="K223" i="28" s="1"/>
  <c r="L223" i="28" s="1"/>
  <c r="M223" i="28" s="1"/>
  <c r="C178" i="28"/>
  <c r="D178" i="28" s="1"/>
  <c r="E178" i="28" s="1"/>
  <c r="F178" i="28" s="1"/>
  <c r="G178" i="28" s="1"/>
  <c r="H178" i="28" s="1"/>
  <c r="I178" i="28" s="1"/>
  <c r="J178" i="28" s="1"/>
  <c r="K178" i="28" s="1"/>
  <c r="L178" i="28" s="1"/>
  <c r="M178" i="28" s="1"/>
  <c r="B231" i="28"/>
  <c r="C144" i="28"/>
  <c r="D144" i="28" s="1"/>
  <c r="E144" i="28" s="1"/>
  <c r="F144" i="28" s="1"/>
  <c r="G144" i="28" s="1"/>
  <c r="H144" i="28" s="1"/>
  <c r="I144" i="28" s="1"/>
  <c r="J144" i="28" s="1"/>
  <c r="K144" i="28" s="1"/>
  <c r="L144" i="28" s="1"/>
  <c r="M144" i="28" s="1"/>
  <c r="B197" i="28"/>
  <c r="F4" i="28"/>
  <c r="G15" i="9" s="1"/>
  <c r="G5" i="28"/>
  <c r="C221" i="28"/>
  <c r="D221" i="28" s="1"/>
  <c r="E221" i="28" s="1"/>
  <c r="F221" i="28" s="1"/>
  <c r="G221" i="28" s="1"/>
  <c r="H221" i="28" s="1"/>
  <c r="I221" i="28" s="1"/>
  <c r="J221" i="28" s="1"/>
  <c r="K221" i="28" s="1"/>
  <c r="L221" i="28" s="1"/>
  <c r="M221" i="28" s="1"/>
  <c r="C140" i="28"/>
  <c r="D140" i="28" s="1"/>
  <c r="E140" i="28" s="1"/>
  <c r="F140" i="28" s="1"/>
  <c r="G140" i="28" s="1"/>
  <c r="H140" i="28" s="1"/>
  <c r="I140" i="28" s="1"/>
  <c r="J140" i="28" s="1"/>
  <c r="K140" i="28" s="1"/>
  <c r="L140" i="28" s="1"/>
  <c r="M140" i="28" s="1"/>
  <c r="B193" i="28"/>
  <c r="N87" i="28"/>
  <c r="C235" i="28"/>
  <c r="D235" i="28" s="1"/>
  <c r="E235" i="28" s="1"/>
  <c r="F235" i="28" s="1"/>
  <c r="G235" i="28" s="1"/>
  <c r="H235" i="28" s="1"/>
  <c r="I235" i="28" s="1"/>
  <c r="J235" i="28" s="1"/>
  <c r="K235" i="28" s="1"/>
  <c r="L235" i="28" s="1"/>
  <c r="M235" i="28" s="1"/>
  <c r="C124" i="28"/>
  <c r="D124" i="28" s="1"/>
  <c r="E124" i="28" s="1"/>
  <c r="F124" i="28" s="1"/>
  <c r="G124" i="28" s="1"/>
  <c r="H124" i="28" s="1"/>
  <c r="I124" i="28" s="1"/>
  <c r="J124" i="28" s="1"/>
  <c r="K124" i="28" s="1"/>
  <c r="L124" i="28" s="1"/>
  <c r="M124" i="28" s="1"/>
  <c r="B177" i="28"/>
  <c r="N170" i="28"/>
  <c r="U11" i="28" s="1"/>
  <c r="N207" i="28"/>
  <c r="N141" i="28"/>
  <c r="C264" i="28"/>
  <c r="D264" i="28" s="1"/>
  <c r="E264" i="28" s="1"/>
  <c r="F264" i="28" s="1"/>
  <c r="G264" i="28" s="1"/>
  <c r="H264" i="28" s="1"/>
  <c r="I264" i="28" s="1"/>
  <c r="J264" i="28" s="1"/>
  <c r="K264" i="28" s="1"/>
  <c r="L264" i="28" s="1"/>
  <c r="M264" i="28" s="1"/>
  <c r="B252" i="28"/>
  <c r="C199" i="28"/>
  <c r="D199" i="28" s="1"/>
  <c r="E199" i="28" s="1"/>
  <c r="F199" i="28" s="1"/>
  <c r="G199" i="28" s="1"/>
  <c r="H199" i="28" s="1"/>
  <c r="I199" i="28" s="1"/>
  <c r="J199" i="28" s="1"/>
  <c r="K199" i="28" s="1"/>
  <c r="L199" i="28" s="1"/>
  <c r="M199" i="28" s="1"/>
  <c r="C234" i="28"/>
  <c r="D234" i="28" s="1"/>
  <c r="E234" i="28" s="1"/>
  <c r="F234" i="28" s="1"/>
  <c r="G234" i="28" s="1"/>
  <c r="H234" i="28" s="1"/>
  <c r="I234" i="28" s="1"/>
  <c r="J234" i="28" s="1"/>
  <c r="K234" i="28" s="1"/>
  <c r="L234" i="28" s="1"/>
  <c r="M234" i="28" s="1"/>
  <c r="N234" i="28"/>
  <c r="C237" i="28"/>
  <c r="D237" i="28" s="1"/>
  <c r="E237" i="28" s="1"/>
  <c r="F237" i="28" s="1"/>
  <c r="G237" i="28" s="1"/>
  <c r="H237" i="28" s="1"/>
  <c r="I237" i="28" s="1"/>
  <c r="J237" i="28" s="1"/>
  <c r="K237" i="28" s="1"/>
  <c r="L237" i="28" s="1"/>
  <c r="M237" i="28" s="1"/>
  <c r="N91" i="28"/>
  <c r="C200" i="28"/>
  <c r="D200" i="28" s="1"/>
  <c r="E200" i="28" s="1"/>
  <c r="F200" i="28" s="1"/>
  <c r="G200" i="28" s="1"/>
  <c r="H200" i="28" s="1"/>
  <c r="I200" i="28" s="1"/>
  <c r="J200" i="28" s="1"/>
  <c r="K200" i="28" s="1"/>
  <c r="L200" i="28" s="1"/>
  <c r="M200" i="28" s="1"/>
  <c r="B253" i="28"/>
  <c r="N168" i="28"/>
  <c r="U9" i="28" s="1"/>
  <c r="C239" i="28"/>
  <c r="D239" i="28" s="1"/>
  <c r="E239" i="28" s="1"/>
  <c r="F239" i="28" s="1"/>
  <c r="G239" i="28" s="1"/>
  <c r="H239" i="28" s="1"/>
  <c r="I239" i="28" s="1"/>
  <c r="J239" i="28" s="1"/>
  <c r="K239" i="28" s="1"/>
  <c r="L239" i="28" s="1"/>
  <c r="M239" i="28" s="1"/>
  <c r="C257" i="28"/>
  <c r="D257" i="28" s="1"/>
  <c r="E257" i="28" s="1"/>
  <c r="F257" i="28" s="1"/>
  <c r="G257" i="28" s="1"/>
  <c r="H257" i="28" s="1"/>
  <c r="I257" i="28" s="1"/>
  <c r="J257" i="28" s="1"/>
  <c r="K257" i="28" s="1"/>
  <c r="L257" i="28" s="1"/>
  <c r="M257" i="28" s="1"/>
  <c r="N232" i="28"/>
  <c r="C194" i="28"/>
  <c r="D194" i="28" s="1"/>
  <c r="E194" i="28" s="1"/>
  <c r="F194" i="28" s="1"/>
  <c r="G194" i="28" s="1"/>
  <c r="H194" i="28" s="1"/>
  <c r="I194" i="28" s="1"/>
  <c r="J194" i="28" s="1"/>
  <c r="K194" i="28" s="1"/>
  <c r="L194" i="28" s="1"/>
  <c r="M194" i="28" s="1"/>
  <c r="B247" i="28"/>
  <c r="F17" i="28"/>
  <c r="E16" i="28"/>
  <c r="B255" i="28"/>
  <c r="C202" i="28"/>
  <c r="D202" i="28" s="1"/>
  <c r="E202" i="28" s="1"/>
  <c r="F202" i="28" s="1"/>
  <c r="G202" i="28" s="1"/>
  <c r="H202" i="28" s="1"/>
  <c r="I202" i="28" s="1"/>
  <c r="J202" i="28" s="1"/>
  <c r="K202" i="28" s="1"/>
  <c r="L202" i="28" s="1"/>
  <c r="M202" i="28" s="1"/>
  <c r="C196" i="28"/>
  <c r="D196" i="28" s="1"/>
  <c r="E196" i="28" s="1"/>
  <c r="F196" i="28" s="1"/>
  <c r="G196" i="28" s="1"/>
  <c r="H196" i="28" s="1"/>
  <c r="I196" i="28" s="1"/>
  <c r="J196" i="28" s="1"/>
  <c r="K196" i="28" s="1"/>
  <c r="L196" i="28" s="1"/>
  <c r="M196" i="28" s="1"/>
  <c r="B249" i="28"/>
  <c r="B248" i="28"/>
  <c r="C195" i="28"/>
  <c r="D195" i="28" s="1"/>
  <c r="E195" i="28" s="1"/>
  <c r="F195" i="28" s="1"/>
  <c r="G195" i="28" s="1"/>
  <c r="H195" i="28" s="1"/>
  <c r="I195" i="28" s="1"/>
  <c r="J195" i="28" s="1"/>
  <c r="K195" i="28" s="1"/>
  <c r="L195" i="28" s="1"/>
  <c r="M195" i="28" s="1"/>
  <c r="N148" i="28"/>
  <c r="N146" i="28"/>
  <c r="C185" i="28"/>
  <c r="D185" i="28" s="1"/>
  <c r="E185" i="28" s="1"/>
  <c r="F185" i="28" s="1"/>
  <c r="G185" i="28" s="1"/>
  <c r="H185" i="28" s="1"/>
  <c r="I185" i="28" s="1"/>
  <c r="J185" i="28" s="1"/>
  <c r="K185" i="28" s="1"/>
  <c r="L185" i="28" s="1"/>
  <c r="M185" i="28" s="1"/>
  <c r="B238" i="28"/>
  <c r="C219" i="28"/>
  <c r="D219" i="28" s="1"/>
  <c r="E219" i="28" s="1"/>
  <c r="F219" i="28" s="1"/>
  <c r="G219" i="28" s="1"/>
  <c r="H219" i="28" s="1"/>
  <c r="I219" i="28" s="1"/>
  <c r="J219" i="28" s="1"/>
  <c r="K219" i="28" s="1"/>
  <c r="L219" i="28" s="1"/>
  <c r="M219" i="28" s="1"/>
  <c r="N224" i="28"/>
  <c r="V12" i="28" s="1"/>
  <c r="B258" i="28"/>
  <c r="C205" i="28"/>
  <c r="D205" i="28" s="1"/>
  <c r="E205" i="28" s="1"/>
  <c r="F205" i="28" s="1"/>
  <c r="G205" i="28" s="1"/>
  <c r="H205" i="28" s="1"/>
  <c r="I205" i="28" s="1"/>
  <c r="J205" i="28" s="1"/>
  <c r="K205" i="28" s="1"/>
  <c r="L205" i="28" s="1"/>
  <c r="M205" i="28" s="1"/>
  <c r="C244" i="28"/>
  <c r="D244" i="28" s="1"/>
  <c r="E244" i="28" s="1"/>
  <c r="F244" i="28" s="1"/>
  <c r="G244" i="28" s="1"/>
  <c r="H244" i="28" s="1"/>
  <c r="I244" i="28" s="1"/>
  <c r="J244" i="28" s="1"/>
  <c r="K244" i="28" s="1"/>
  <c r="L244" i="28" s="1"/>
  <c r="M244" i="28" s="1"/>
  <c r="C262" i="28"/>
  <c r="D262" i="28" s="1"/>
  <c r="E262" i="28" s="1"/>
  <c r="F262" i="28" s="1"/>
  <c r="G262" i="28" s="1"/>
  <c r="H262" i="28" s="1"/>
  <c r="I262" i="28" s="1"/>
  <c r="J262" i="28" s="1"/>
  <c r="K262" i="28" s="1"/>
  <c r="L262" i="28" s="1"/>
  <c r="M262" i="28" s="1"/>
  <c r="C201" i="28"/>
  <c r="D201" i="28" s="1"/>
  <c r="E201" i="28" s="1"/>
  <c r="F201" i="28" s="1"/>
  <c r="G201" i="28" s="1"/>
  <c r="H201" i="28" s="1"/>
  <c r="I201" i="28" s="1"/>
  <c r="J201" i="28" s="1"/>
  <c r="K201" i="28" s="1"/>
  <c r="L201" i="28" s="1"/>
  <c r="M201" i="28" s="1"/>
  <c r="B254" i="28"/>
  <c r="C260" i="28"/>
  <c r="D260" i="28" s="1"/>
  <c r="E260" i="28" s="1"/>
  <c r="F260" i="28" s="1"/>
  <c r="G260" i="28" s="1"/>
  <c r="H260" i="28" s="1"/>
  <c r="I260" i="28" s="1"/>
  <c r="J260" i="28" s="1"/>
  <c r="K260" i="28" s="1"/>
  <c r="L260" i="28" s="1"/>
  <c r="M260" i="28" s="1"/>
  <c r="N211" i="28"/>
  <c r="N236" i="28"/>
  <c r="C243" i="28"/>
  <c r="D243" i="28" s="1"/>
  <c r="E243" i="28" s="1"/>
  <c r="F243" i="28" s="1"/>
  <c r="G243" i="28" s="1"/>
  <c r="H243" i="28" s="1"/>
  <c r="I243" i="28" s="1"/>
  <c r="J243" i="28" s="1"/>
  <c r="K243" i="28" s="1"/>
  <c r="L243" i="28" s="1"/>
  <c r="M243" i="28" s="1"/>
  <c r="N243" i="28"/>
  <c r="N191" i="28"/>
  <c r="C206" i="28"/>
  <c r="D206" i="28" s="1"/>
  <c r="E206" i="28" s="1"/>
  <c r="F206" i="28" s="1"/>
  <c r="G206" i="28" s="1"/>
  <c r="H206" i="28" s="1"/>
  <c r="I206" i="28" s="1"/>
  <c r="J206" i="28" s="1"/>
  <c r="K206" i="28" s="1"/>
  <c r="L206" i="28" s="1"/>
  <c r="M206" i="28" s="1"/>
  <c r="B259" i="28"/>
  <c r="N132" i="28"/>
  <c r="N204" i="28"/>
  <c r="N152" i="28"/>
  <c r="N142" i="28"/>
  <c r="N174" i="28" l="1"/>
  <c r="U15" i="28" s="1"/>
  <c r="N10" i="38"/>
  <c r="T10" i="38" s="1"/>
  <c r="D145" i="28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/>
  <c r="B251" i="28"/>
  <c r="C251" i="28" s="1"/>
  <c r="D251" i="28" s="1"/>
  <c r="E251" i="28" s="1"/>
  <c r="F251" i="28" s="1"/>
  <c r="G251" i="28" s="1"/>
  <c r="H251" i="28" s="1"/>
  <c r="I251" i="28" s="1"/>
  <c r="J251" i="28" s="1"/>
  <c r="K251" i="28" s="1"/>
  <c r="L251" i="28" s="1"/>
  <c r="M251" i="28" s="1"/>
  <c r="C198" i="28"/>
  <c r="C227" i="28"/>
  <c r="D227" i="28" s="1"/>
  <c r="E227" i="28" s="1"/>
  <c r="F227" i="28" s="1"/>
  <c r="G227" i="28" s="1"/>
  <c r="H227" i="28" s="1"/>
  <c r="I227" i="28" s="1"/>
  <c r="J227" i="28" s="1"/>
  <c r="K227" i="28" s="1"/>
  <c r="L227" i="28" s="1"/>
  <c r="M227" i="28" s="1"/>
  <c r="E53" i="28"/>
  <c r="F16" i="9"/>
  <c r="N202" i="28"/>
  <c r="N140" i="28"/>
  <c r="N256" i="28"/>
  <c r="N257" i="28"/>
  <c r="N189" i="28"/>
  <c r="C169" i="28"/>
  <c r="D169" i="28" s="1"/>
  <c r="E169" i="28" s="1"/>
  <c r="F169" i="28" s="1"/>
  <c r="G169" i="28" s="1"/>
  <c r="H169" i="28" s="1"/>
  <c r="I169" i="28" s="1"/>
  <c r="J169" i="28" s="1"/>
  <c r="K169" i="28" s="1"/>
  <c r="L169" i="28" s="1"/>
  <c r="M169" i="28" s="1"/>
  <c r="B222" i="28" s="1"/>
  <c r="N223" i="28"/>
  <c r="V11" i="28" s="1"/>
  <c r="N167" i="28"/>
  <c r="U8" i="28" s="1"/>
  <c r="N221" i="28"/>
  <c r="V9" i="28" s="1"/>
  <c r="C220" i="28"/>
  <c r="D220" i="28" s="1"/>
  <c r="E220" i="28" s="1"/>
  <c r="F220" i="28" s="1"/>
  <c r="G220" i="28" s="1"/>
  <c r="H220" i="28" s="1"/>
  <c r="I220" i="28" s="1"/>
  <c r="J220" i="28" s="1"/>
  <c r="K220" i="28" s="1"/>
  <c r="L220" i="28" s="1"/>
  <c r="M220" i="28" s="1"/>
  <c r="N237" i="28"/>
  <c r="N157" i="28"/>
  <c r="N233" i="28"/>
  <c r="B263" i="28"/>
  <c r="C263" i="28" s="1"/>
  <c r="D263" i="28" s="1"/>
  <c r="E263" i="28" s="1"/>
  <c r="F263" i="28" s="1"/>
  <c r="G263" i="28" s="1"/>
  <c r="H263" i="28" s="1"/>
  <c r="I263" i="28" s="1"/>
  <c r="J263" i="28" s="1"/>
  <c r="K263" i="28" s="1"/>
  <c r="L263" i="28" s="1"/>
  <c r="M263" i="28" s="1"/>
  <c r="C210" i="28"/>
  <c r="C245" i="28"/>
  <c r="D245" i="28" s="1"/>
  <c r="E245" i="28" s="1"/>
  <c r="F245" i="28" s="1"/>
  <c r="G245" i="28" s="1"/>
  <c r="H245" i="28" s="1"/>
  <c r="I245" i="28" s="1"/>
  <c r="J245" i="28" s="1"/>
  <c r="K245" i="28" s="1"/>
  <c r="L245" i="28" s="1"/>
  <c r="M245" i="28" s="1"/>
  <c r="N201" i="28"/>
  <c r="C261" i="28"/>
  <c r="D261" i="28" s="1"/>
  <c r="E261" i="28" s="1"/>
  <c r="F261" i="28" s="1"/>
  <c r="G261" i="28" s="1"/>
  <c r="H261" i="28" s="1"/>
  <c r="I261" i="28" s="1"/>
  <c r="J261" i="28" s="1"/>
  <c r="K261" i="28" s="1"/>
  <c r="L261" i="28" s="1"/>
  <c r="M261" i="28" s="1"/>
  <c r="N192" i="28"/>
  <c r="N185" i="28"/>
  <c r="N194" i="28"/>
  <c r="N235" i="28"/>
  <c r="C242" i="28"/>
  <c r="D242" i="28" s="1"/>
  <c r="E242" i="28" s="1"/>
  <c r="F242" i="28" s="1"/>
  <c r="G242" i="28" s="1"/>
  <c r="H242" i="28" s="1"/>
  <c r="I242" i="28" s="1"/>
  <c r="J242" i="28" s="1"/>
  <c r="K242" i="28" s="1"/>
  <c r="L242" i="28" s="1"/>
  <c r="M242" i="28" s="1"/>
  <c r="N242" i="28"/>
  <c r="N199" i="28"/>
  <c r="D203" i="28"/>
  <c r="E203" i="28" s="1"/>
  <c r="F203" i="28" s="1"/>
  <c r="G203" i="28" s="1"/>
  <c r="H203" i="28" s="1"/>
  <c r="I203" i="28" s="1"/>
  <c r="J203" i="28" s="1"/>
  <c r="K203" i="28" s="1"/>
  <c r="L203" i="28" s="1"/>
  <c r="M203" i="28" s="1"/>
  <c r="C248" i="28"/>
  <c r="D248" i="28" s="1"/>
  <c r="E248" i="28" s="1"/>
  <c r="F248" i="28" s="1"/>
  <c r="G248" i="28" s="1"/>
  <c r="H248" i="28" s="1"/>
  <c r="I248" i="28" s="1"/>
  <c r="J248" i="28" s="1"/>
  <c r="K248" i="28" s="1"/>
  <c r="L248" i="28" s="1"/>
  <c r="M248" i="28" s="1"/>
  <c r="N244" i="28"/>
  <c r="N195" i="28"/>
  <c r="G17" i="28"/>
  <c r="F16" i="28"/>
  <c r="N264" i="28"/>
  <c r="G4" i="28"/>
  <c r="H15" i="9" s="1"/>
  <c r="H5" i="28"/>
  <c r="N178" i="28"/>
  <c r="C231" i="28"/>
  <c r="D231" i="28" s="1"/>
  <c r="E231" i="28" s="1"/>
  <c r="F231" i="28" s="1"/>
  <c r="G231" i="28" s="1"/>
  <c r="H231" i="28" s="1"/>
  <c r="I231" i="28" s="1"/>
  <c r="J231" i="28" s="1"/>
  <c r="K231" i="28" s="1"/>
  <c r="L231" i="28" s="1"/>
  <c r="M231" i="28" s="1"/>
  <c r="C259" i="28"/>
  <c r="D259" i="28" s="1"/>
  <c r="E259" i="28" s="1"/>
  <c r="F259" i="28" s="1"/>
  <c r="G259" i="28" s="1"/>
  <c r="H259" i="28" s="1"/>
  <c r="I259" i="28" s="1"/>
  <c r="J259" i="28" s="1"/>
  <c r="K259" i="28" s="1"/>
  <c r="L259" i="28" s="1"/>
  <c r="M259" i="28" s="1"/>
  <c r="N259" i="28" s="1"/>
  <c r="C238" i="28"/>
  <c r="D238" i="28" s="1"/>
  <c r="E238" i="28" s="1"/>
  <c r="F238" i="28" s="1"/>
  <c r="G238" i="28" s="1"/>
  <c r="H238" i="28" s="1"/>
  <c r="I238" i="28" s="1"/>
  <c r="J238" i="28" s="1"/>
  <c r="K238" i="28" s="1"/>
  <c r="L238" i="28" s="1"/>
  <c r="M238" i="28" s="1"/>
  <c r="N206" i="28"/>
  <c r="N260" i="28"/>
  <c r="N205" i="28"/>
  <c r="N196" i="28"/>
  <c r="C247" i="28"/>
  <c r="D247" i="28" s="1"/>
  <c r="E247" i="28" s="1"/>
  <c r="F247" i="28" s="1"/>
  <c r="G247" i="28" s="1"/>
  <c r="H247" i="28" s="1"/>
  <c r="I247" i="28" s="1"/>
  <c r="J247" i="28" s="1"/>
  <c r="K247" i="28" s="1"/>
  <c r="L247" i="28" s="1"/>
  <c r="M247" i="28" s="1"/>
  <c r="N239" i="28"/>
  <c r="N251" i="28"/>
  <c r="C249" i="28"/>
  <c r="D249" i="28" s="1"/>
  <c r="E249" i="28" s="1"/>
  <c r="F249" i="28" s="1"/>
  <c r="G249" i="28" s="1"/>
  <c r="H249" i="28" s="1"/>
  <c r="I249" i="28" s="1"/>
  <c r="J249" i="28" s="1"/>
  <c r="K249" i="28" s="1"/>
  <c r="L249" i="28" s="1"/>
  <c r="M249" i="28" s="1"/>
  <c r="C193" i="28"/>
  <c r="D193" i="28" s="1"/>
  <c r="E193" i="28" s="1"/>
  <c r="F193" i="28" s="1"/>
  <c r="G193" i="28" s="1"/>
  <c r="H193" i="28" s="1"/>
  <c r="I193" i="28" s="1"/>
  <c r="J193" i="28" s="1"/>
  <c r="K193" i="28" s="1"/>
  <c r="L193" i="28" s="1"/>
  <c r="M193" i="28" s="1"/>
  <c r="B246" i="28"/>
  <c r="C254" i="28"/>
  <c r="D254" i="28" s="1"/>
  <c r="E254" i="28" s="1"/>
  <c r="F254" i="28" s="1"/>
  <c r="G254" i="28" s="1"/>
  <c r="H254" i="28" s="1"/>
  <c r="I254" i="28" s="1"/>
  <c r="J254" i="28" s="1"/>
  <c r="K254" i="28" s="1"/>
  <c r="L254" i="28" s="1"/>
  <c r="M254" i="28" s="1"/>
  <c r="C197" i="28"/>
  <c r="D197" i="28" s="1"/>
  <c r="E197" i="28" s="1"/>
  <c r="F197" i="28" s="1"/>
  <c r="G197" i="28" s="1"/>
  <c r="H197" i="28" s="1"/>
  <c r="I197" i="28" s="1"/>
  <c r="J197" i="28" s="1"/>
  <c r="K197" i="28" s="1"/>
  <c r="L197" i="28" s="1"/>
  <c r="M197" i="28" s="1"/>
  <c r="B250" i="28"/>
  <c r="C177" i="28"/>
  <c r="D177" i="28" s="1"/>
  <c r="E177" i="28" s="1"/>
  <c r="F177" i="28" s="1"/>
  <c r="G177" i="28" s="1"/>
  <c r="H177" i="28" s="1"/>
  <c r="I177" i="28" s="1"/>
  <c r="J177" i="28" s="1"/>
  <c r="K177" i="28" s="1"/>
  <c r="L177" i="28" s="1"/>
  <c r="M177" i="28" s="1"/>
  <c r="B230" i="28"/>
  <c r="C258" i="28"/>
  <c r="D258" i="28" s="1"/>
  <c r="E258" i="28" s="1"/>
  <c r="F258" i="28" s="1"/>
  <c r="G258" i="28" s="1"/>
  <c r="H258" i="28" s="1"/>
  <c r="I258" i="28" s="1"/>
  <c r="J258" i="28" s="1"/>
  <c r="K258" i="28" s="1"/>
  <c r="L258" i="28" s="1"/>
  <c r="M258" i="28" s="1"/>
  <c r="N200" i="28"/>
  <c r="N262" i="28"/>
  <c r="N219" i="28"/>
  <c r="V7" i="28" s="1"/>
  <c r="N240" i="28"/>
  <c r="C255" i="28"/>
  <c r="D255" i="28" s="1"/>
  <c r="E255" i="28" s="1"/>
  <c r="F255" i="28" s="1"/>
  <c r="G255" i="28" s="1"/>
  <c r="H255" i="28" s="1"/>
  <c r="I255" i="28" s="1"/>
  <c r="J255" i="28" s="1"/>
  <c r="K255" i="28" s="1"/>
  <c r="L255" i="28" s="1"/>
  <c r="M255" i="28" s="1"/>
  <c r="C253" i="28"/>
  <c r="D253" i="28" s="1"/>
  <c r="E253" i="28" s="1"/>
  <c r="F253" i="28" s="1"/>
  <c r="G253" i="28" s="1"/>
  <c r="H253" i="28" s="1"/>
  <c r="I253" i="28" s="1"/>
  <c r="J253" i="28" s="1"/>
  <c r="K253" i="28" s="1"/>
  <c r="L253" i="28" s="1"/>
  <c r="M253" i="28" s="1"/>
  <c r="N253" i="28"/>
  <c r="C252" i="28"/>
  <c r="D252" i="28" s="1"/>
  <c r="E252" i="28" s="1"/>
  <c r="F252" i="28" s="1"/>
  <c r="G252" i="28" s="1"/>
  <c r="H252" i="28" s="1"/>
  <c r="I252" i="28" s="1"/>
  <c r="J252" i="28" s="1"/>
  <c r="K252" i="28" s="1"/>
  <c r="L252" i="28" s="1"/>
  <c r="M252" i="28" s="1"/>
  <c r="N124" i="28"/>
  <c r="N144" i="28"/>
  <c r="N249" i="28" l="1"/>
  <c r="N247" i="28"/>
  <c r="N203" i="28"/>
  <c r="D198" i="28"/>
  <c r="E198" i="28" s="1"/>
  <c r="F198" i="28" s="1"/>
  <c r="G198" i="28" s="1"/>
  <c r="H198" i="28" s="1"/>
  <c r="I198" i="28" s="1"/>
  <c r="J198" i="28" s="1"/>
  <c r="K198" i="28" s="1"/>
  <c r="L198" i="28" s="1"/>
  <c r="M198" i="28" s="1"/>
  <c r="N198" i="28" s="1"/>
  <c r="N245" i="28"/>
  <c r="N169" i="28"/>
  <c r="U10" i="28" s="1"/>
  <c r="N231" i="28"/>
  <c r="F53" i="28"/>
  <c r="G16" i="9"/>
  <c r="N193" i="28"/>
  <c r="N238" i="28"/>
  <c r="N261" i="28"/>
  <c r="N227" i="28"/>
  <c r="V15" i="28" s="1"/>
  <c r="C222" i="28"/>
  <c r="D222" i="28" s="1"/>
  <c r="E222" i="28" s="1"/>
  <c r="F222" i="28" s="1"/>
  <c r="G222" i="28" s="1"/>
  <c r="H222" i="28" s="1"/>
  <c r="I222" i="28" s="1"/>
  <c r="J222" i="28" s="1"/>
  <c r="K222" i="28" s="1"/>
  <c r="L222" i="28" s="1"/>
  <c r="M222" i="28" s="1"/>
  <c r="N220" i="28"/>
  <c r="V8" i="28" s="1"/>
  <c r="D210" i="28"/>
  <c r="E210" i="28" s="1"/>
  <c r="F210" i="28" s="1"/>
  <c r="G210" i="28" s="1"/>
  <c r="H210" i="28" s="1"/>
  <c r="I210" i="28" s="1"/>
  <c r="J210" i="28" s="1"/>
  <c r="K210" i="28" s="1"/>
  <c r="L210" i="28" s="1"/>
  <c r="M210" i="28" s="1"/>
  <c r="N263" i="28"/>
  <c r="N258" i="28"/>
  <c r="N255" i="28"/>
  <c r="C230" i="28"/>
  <c r="D230" i="28" s="1"/>
  <c r="E230" i="28" s="1"/>
  <c r="F230" i="28" s="1"/>
  <c r="G230" i="28" s="1"/>
  <c r="H230" i="28" s="1"/>
  <c r="I230" i="28" s="1"/>
  <c r="J230" i="28" s="1"/>
  <c r="K230" i="28" s="1"/>
  <c r="L230" i="28" s="1"/>
  <c r="M230" i="28" s="1"/>
  <c r="H17" i="28"/>
  <c r="G16" i="28"/>
  <c r="N254" i="28"/>
  <c r="N177" i="28"/>
  <c r="C246" i="28"/>
  <c r="D246" i="28" s="1"/>
  <c r="E246" i="28" s="1"/>
  <c r="F246" i="28" s="1"/>
  <c r="G246" i="28" s="1"/>
  <c r="H246" i="28" s="1"/>
  <c r="I246" i="28" s="1"/>
  <c r="J246" i="28" s="1"/>
  <c r="K246" i="28" s="1"/>
  <c r="L246" i="28" s="1"/>
  <c r="M246" i="28" s="1"/>
  <c r="N197" i="28"/>
  <c r="N252" i="28"/>
  <c r="C250" i="28"/>
  <c r="D250" i="28" s="1"/>
  <c r="E250" i="28" s="1"/>
  <c r="F250" i="28" s="1"/>
  <c r="G250" i="28" s="1"/>
  <c r="H250" i="28" s="1"/>
  <c r="I250" i="28" s="1"/>
  <c r="J250" i="28" s="1"/>
  <c r="K250" i="28" s="1"/>
  <c r="L250" i="28" s="1"/>
  <c r="M250" i="28" s="1"/>
  <c r="H4" i="28"/>
  <c r="I15" i="9" s="1"/>
  <c r="I5" i="28"/>
  <c r="N248" i="28"/>
  <c r="N210" i="28" l="1"/>
  <c r="G53" i="28"/>
  <c r="H16" i="9"/>
  <c r="N230" i="28"/>
  <c r="N222" i="28"/>
  <c r="V10" i="28" s="1"/>
  <c r="N246" i="28"/>
  <c r="I4" i="28"/>
  <c r="J15" i="9" s="1"/>
  <c r="J5" i="28"/>
  <c r="N250" i="28"/>
  <c r="I17" i="28"/>
  <c r="H16" i="28"/>
  <c r="H53" i="28" l="1"/>
  <c r="I16" i="9"/>
  <c r="I16" i="28"/>
  <c r="J17" i="28"/>
  <c r="K5" i="28"/>
  <c r="J4" i="28"/>
  <c r="K15" i="9" s="1"/>
  <c r="I53" i="28" l="1"/>
  <c r="J16" i="9"/>
  <c r="L5" i="28"/>
  <c r="K4" i="28"/>
  <c r="L15" i="9" s="1"/>
  <c r="K17" i="28"/>
  <c r="J16" i="28"/>
  <c r="E13" i="9"/>
  <c r="M13" i="9"/>
  <c r="F13" i="9"/>
  <c r="N13" i="9"/>
  <c r="D13" i="9"/>
  <c r="L13" i="9"/>
  <c r="G13" i="9"/>
  <c r="I13" i="9"/>
  <c r="K13" i="9"/>
  <c r="J53" i="28" l="1"/>
  <c r="K16" i="9"/>
  <c r="C18" i="9"/>
  <c r="C13" i="9"/>
  <c r="L17" i="28"/>
  <c r="K16" i="28"/>
  <c r="M5" i="28"/>
  <c r="B58" i="28" s="1"/>
  <c r="C58" i="28" s="1"/>
  <c r="D58" i="28" s="1"/>
  <c r="E58" i="28" s="1"/>
  <c r="F58" i="28" s="1"/>
  <c r="G58" i="28" s="1"/>
  <c r="H58" i="28" s="1"/>
  <c r="I58" i="28" s="1"/>
  <c r="J58" i="28" s="1"/>
  <c r="K58" i="28" s="1"/>
  <c r="L58" i="28" s="1"/>
  <c r="M58" i="28" s="1"/>
  <c r="L4" i="28"/>
  <c r="M15" i="9" s="1"/>
  <c r="J13" i="9"/>
  <c r="K53" i="28" l="1"/>
  <c r="L16" i="9"/>
  <c r="M4" i="28"/>
  <c r="N15" i="9" s="1"/>
  <c r="N5" i="28"/>
  <c r="L16" i="28"/>
  <c r="M17" i="28"/>
  <c r="D9" i="10"/>
  <c r="H13" i="9"/>
  <c r="O13" i="9" s="1"/>
  <c r="L53" i="28" l="1"/>
  <c r="M16" i="9"/>
  <c r="B75" i="9"/>
  <c r="I9" i="10"/>
  <c r="J9" i="10"/>
  <c r="H9" i="10"/>
  <c r="R18" i="28"/>
  <c r="M16" i="28"/>
  <c r="B70" i="28"/>
  <c r="N17" i="28"/>
  <c r="N16" i="28" s="1"/>
  <c r="C5" i="32" s="1"/>
  <c r="N4" i="28"/>
  <c r="R5" i="28"/>
  <c r="R4" i="28" s="1"/>
  <c r="B57" i="28"/>
  <c r="C30" i="9" s="1"/>
  <c r="O12" i="9"/>
  <c r="AB25" i="32" l="1"/>
  <c r="AB26" i="32" s="1"/>
  <c r="AB27" i="32" s="1"/>
  <c r="N25" i="32"/>
  <c r="N26" i="32" s="1"/>
  <c r="N27" i="32" s="1"/>
  <c r="AD25" i="32"/>
  <c r="AD26" i="32" s="1"/>
  <c r="AD27" i="32" s="1"/>
  <c r="T25" i="32"/>
  <c r="T26" i="32" s="1"/>
  <c r="T27" i="32" s="1"/>
  <c r="W25" i="32"/>
  <c r="W26" i="32" s="1"/>
  <c r="W27" i="32" s="1"/>
  <c r="AC25" i="32"/>
  <c r="AC26" i="32" s="1"/>
  <c r="AC27" i="32" s="1"/>
  <c r="O25" i="32"/>
  <c r="O26" i="32" s="1"/>
  <c r="O27" i="32" s="1"/>
  <c r="Q25" i="32"/>
  <c r="Q26" i="32" s="1"/>
  <c r="Q27" i="32" s="1"/>
  <c r="P25" i="32"/>
  <c r="P26" i="32" s="1"/>
  <c r="P27" i="32" s="1"/>
  <c r="S25" i="32"/>
  <c r="S26" i="32" s="1"/>
  <c r="S27" i="32" s="1"/>
  <c r="V25" i="32"/>
  <c r="V26" i="32" s="1"/>
  <c r="V27" i="32" s="1"/>
  <c r="Y25" i="32"/>
  <c r="Y26" i="32" s="1"/>
  <c r="Y27" i="32" s="1"/>
  <c r="AE25" i="32"/>
  <c r="AE26" i="32" s="1"/>
  <c r="AE27" i="32" s="1"/>
  <c r="U25" i="32"/>
  <c r="U26" i="32" s="1"/>
  <c r="U27" i="32" s="1"/>
  <c r="AF25" i="32"/>
  <c r="AF26" i="32" s="1"/>
  <c r="AF27" i="32" s="1"/>
  <c r="R25" i="32"/>
  <c r="R26" i="32" s="1"/>
  <c r="R27" i="32" s="1"/>
  <c r="X25" i="32"/>
  <c r="X26" i="32" s="1"/>
  <c r="X27" i="32" s="1"/>
  <c r="Z25" i="32"/>
  <c r="Z26" i="32" s="1"/>
  <c r="Z27" i="32" s="1"/>
  <c r="AA25" i="32"/>
  <c r="AA26" i="32" s="1"/>
  <c r="AA27" i="32" s="1"/>
  <c r="R17" i="28"/>
  <c r="R54" i="28" s="1"/>
  <c r="B10" i="10" s="1"/>
  <c r="C10" i="10" s="1"/>
  <c r="D10" i="10" s="1"/>
  <c r="E10" i="10" s="1"/>
  <c r="F10" i="10" s="1"/>
  <c r="M53" i="28"/>
  <c r="N16" i="9"/>
  <c r="N53" i="28"/>
  <c r="C70" i="28"/>
  <c r="B69" i="28"/>
  <c r="C57" i="28"/>
  <c r="D30" i="9" s="1"/>
  <c r="S18" i="28"/>
  <c r="E8" i="22" l="1"/>
  <c r="M12" i="10"/>
  <c r="B106" i="28"/>
  <c r="C31" i="9"/>
  <c r="C32" i="9" s="1"/>
  <c r="F8" i="22"/>
  <c r="I8" i="22"/>
  <c r="K25" i="32"/>
  <c r="K26" i="32" s="1"/>
  <c r="K27" i="32" s="1"/>
  <c r="F12" i="32"/>
  <c r="H12" i="32" s="1"/>
  <c r="J12" i="32" s="1"/>
  <c r="L12" i="32" s="1"/>
  <c r="L25" i="32"/>
  <c r="L26" i="32" s="1"/>
  <c r="L27" i="32" s="1"/>
  <c r="M25" i="32"/>
  <c r="M26" i="32" s="1"/>
  <c r="M27" i="32" s="1"/>
  <c r="B25" i="32"/>
  <c r="B26" i="32" s="1"/>
  <c r="B27" i="32" s="1"/>
  <c r="C25" i="32"/>
  <c r="C26" i="32" s="1"/>
  <c r="C27" i="32" s="1"/>
  <c r="D25" i="32"/>
  <c r="D26" i="32" s="1"/>
  <c r="D27" i="32" s="1"/>
  <c r="E25" i="32"/>
  <c r="E26" i="32" s="1"/>
  <c r="E27" i="32" s="1"/>
  <c r="F25" i="32"/>
  <c r="F26" i="32" s="1"/>
  <c r="F27" i="32" s="1"/>
  <c r="G25" i="32"/>
  <c r="G26" i="32" s="1"/>
  <c r="G27" i="32" s="1"/>
  <c r="F9" i="32"/>
  <c r="H9" i="32" s="1"/>
  <c r="J9" i="32" s="1"/>
  <c r="F16" i="32" s="1"/>
  <c r="J16" i="32" s="1"/>
  <c r="I25" i="32"/>
  <c r="I26" i="32" s="1"/>
  <c r="I27" i="32" s="1"/>
  <c r="J25" i="32"/>
  <c r="J26" i="32" s="1"/>
  <c r="J27" i="32" s="1"/>
  <c r="H25" i="32"/>
  <c r="H26" i="32" s="1"/>
  <c r="H27" i="32" s="1"/>
  <c r="T18" i="28"/>
  <c r="D57" i="28"/>
  <c r="E30" i="9" s="1"/>
  <c r="C69" i="28"/>
  <c r="D70" i="28"/>
  <c r="O61" i="9"/>
  <c r="M61" i="9"/>
  <c r="O50" i="9"/>
  <c r="M50" i="9"/>
  <c r="O39" i="9"/>
  <c r="M39" i="9"/>
  <c r="E9" i="10"/>
  <c r="C9" i="10"/>
  <c r="F9" i="10"/>
  <c r="G10" i="10"/>
  <c r="H10" i="10"/>
  <c r="I10" i="10"/>
  <c r="J10" i="10"/>
  <c r="C106" i="28" l="1"/>
  <c r="D31" i="9"/>
  <c r="D32" i="9" s="1"/>
  <c r="E70" i="28"/>
  <c r="D69" i="28"/>
  <c r="E57" i="28"/>
  <c r="F30" i="9" s="1"/>
  <c r="U18" i="28"/>
  <c r="D106" i="28" l="1"/>
  <c r="E31" i="9"/>
  <c r="E32" i="9" s="1"/>
  <c r="F57" i="28"/>
  <c r="G30" i="9" s="1"/>
  <c r="V18" i="28"/>
  <c r="F70" i="28"/>
  <c r="E69" i="28"/>
  <c r="E106" i="28" l="1"/>
  <c r="F31" i="9"/>
  <c r="F32" i="9" s="1"/>
  <c r="F69" i="28"/>
  <c r="G70" i="28"/>
  <c r="G57" i="28"/>
  <c r="H30" i="9" s="1"/>
  <c r="F106" i="28" l="1"/>
  <c r="G31" i="9"/>
  <c r="G32" i="9" s="1"/>
  <c r="H57" i="28"/>
  <c r="I30" i="9" s="1"/>
  <c r="G69" i="28"/>
  <c r="H70" i="28"/>
  <c r="D17" i="9"/>
  <c r="G106" i="28" l="1"/>
  <c r="H31" i="9"/>
  <c r="H32" i="9" s="1"/>
  <c r="I70" i="28"/>
  <c r="H69" i="28"/>
  <c r="I57" i="28"/>
  <c r="J30" i="9" s="1"/>
  <c r="E17" i="9"/>
  <c r="H106" i="28" l="1"/>
  <c r="I31" i="9"/>
  <c r="I32" i="9" s="1"/>
  <c r="J57" i="28"/>
  <c r="K30" i="9" s="1"/>
  <c r="I69" i="28"/>
  <c r="J70" i="28"/>
  <c r="F17" i="9"/>
  <c r="I106" i="28" l="1"/>
  <c r="J31" i="9"/>
  <c r="J32" i="9" s="1"/>
  <c r="J69" i="28"/>
  <c r="K70" i="28"/>
  <c r="K57" i="28"/>
  <c r="L30" i="9" s="1"/>
  <c r="G17" i="9"/>
  <c r="J106" i="28" l="1"/>
  <c r="K31" i="9"/>
  <c r="K32" i="9" s="1"/>
  <c r="L57" i="28"/>
  <c r="M30" i="9" s="1"/>
  <c r="K69" i="28"/>
  <c r="L70" i="28"/>
  <c r="H17" i="9"/>
  <c r="K106" i="28" l="1"/>
  <c r="L31" i="9"/>
  <c r="L32" i="9" s="1"/>
  <c r="M70" i="28"/>
  <c r="L69" i="28"/>
  <c r="M57" i="28"/>
  <c r="N30" i="9" s="1"/>
  <c r="B111" i="28"/>
  <c r="N58" i="28"/>
  <c r="I17" i="9"/>
  <c r="L106" i="28" l="1"/>
  <c r="M31" i="9"/>
  <c r="M32" i="9" s="1"/>
  <c r="S5" i="28"/>
  <c r="S4" i="28" s="1"/>
  <c r="N57" i="28"/>
  <c r="O30" i="9" s="1"/>
  <c r="C111" i="28"/>
  <c r="B110" i="28"/>
  <c r="C41" i="9" s="1"/>
  <c r="M69" i="28"/>
  <c r="B123" i="28"/>
  <c r="N70" i="28"/>
  <c r="N69" i="28" s="1"/>
  <c r="J17" i="9"/>
  <c r="S17" i="28" l="1"/>
  <c r="O31" i="9"/>
  <c r="M106" i="28"/>
  <c r="N31" i="9"/>
  <c r="N32" i="9" s="1"/>
  <c r="O32" i="9"/>
  <c r="S54" i="28"/>
  <c r="B19" i="10" s="1"/>
  <c r="N106" i="28"/>
  <c r="E9" i="22" s="1"/>
  <c r="F9" i="22" s="1"/>
  <c r="C123" i="28"/>
  <c r="B122" i="28"/>
  <c r="B176" i="28"/>
  <c r="D111" i="28"/>
  <c r="C110" i="28"/>
  <c r="D41" i="9" s="1"/>
  <c r="K17" i="9"/>
  <c r="B159" i="28" l="1"/>
  <c r="C42" i="9"/>
  <c r="C43" i="9" s="1"/>
  <c r="C19" i="10"/>
  <c r="F19" i="10"/>
  <c r="G19" i="10" s="1"/>
  <c r="D19" i="10"/>
  <c r="E19" i="10"/>
  <c r="J19" i="10"/>
  <c r="I19" i="10"/>
  <c r="H19" i="10"/>
  <c r="E111" i="28"/>
  <c r="D110" i="28"/>
  <c r="E41" i="9" s="1"/>
  <c r="C176" i="28"/>
  <c r="B175" i="28"/>
  <c r="C53" i="9" s="1"/>
  <c r="B229" i="28"/>
  <c r="D123" i="28"/>
  <c r="C122" i="28"/>
  <c r="L17" i="9"/>
  <c r="C159" i="28" l="1"/>
  <c r="D42" i="9"/>
  <c r="D43" i="9" s="1"/>
  <c r="C229" i="28"/>
  <c r="B228" i="28"/>
  <c r="C64" i="9" s="1"/>
  <c r="D122" i="28"/>
  <c r="E123" i="28"/>
  <c r="D176" i="28"/>
  <c r="C175" i="28"/>
  <c r="D53" i="9" s="1"/>
  <c r="F111" i="28"/>
  <c r="E110" i="28"/>
  <c r="F41" i="9" s="1"/>
  <c r="M17" i="9"/>
  <c r="D159" i="28" l="1"/>
  <c r="E42" i="9"/>
  <c r="E43" i="9" s="1"/>
  <c r="E176" i="28"/>
  <c r="D175" i="28"/>
  <c r="E53" i="9" s="1"/>
  <c r="E122" i="28"/>
  <c r="F123" i="28"/>
  <c r="G111" i="28"/>
  <c r="F110" i="28"/>
  <c r="G41" i="9" s="1"/>
  <c r="D229" i="28"/>
  <c r="C228" i="28"/>
  <c r="D64" i="9" s="1"/>
  <c r="E159" i="28" l="1"/>
  <c r="F42" i="9"/>
  <c r="F43" i="9" s="1"/>
  <c r="O15" i="9"/>
  <c r="N17" i="9"/>
  <c r="G110" i="28"/>
  <c r="H41" i="9" s="1"/>
  <c r="H111" i="28"/>
  <c r="G123" i="28"/>
  <c r="F122" i="28"/>
  <c r="D228" i="28"/>
  <c r="E64" i="9" s="1"/>
  <c r="E229" i="28"/>
  <c r="E175" i="28"/>
  <c r="F53" i="9" s="1"/>
  <c r="F176" i="28"/>
  <c r="F159" i="28" l="1"/>
  <c r="G42" i="9"/>
  <c r="G43" i="9" s="1"/>
  <c r="E228" i="28"/>
  <c r="F64" i="9" s="1"/>
  <c r="F229" i="28"/>
  <c r="F175" i="28"/>
  <c r="G53" i="9" s="1"/>
  <c r="G176" i="28"/>
  <c r="H123" i="28"/>
  <c r="G122" i="28"/>
  <c r="I111" i="28"/>
  <c r="H110" i="28"/>
  <c r="I41" i="9" s="1"/>
  <c r="G159" i="28" l="1"/>
  <c r="H42" i="9"/>
  <c r="H43" i="9" s="1"/>
  <c r="G175" i="28"/>
  <c r="H53" i="9" s="1"/>
  <c r="H176" i="28"/>
  <c r="I110" i="28"/>
  <c r="J41" i="9" s="1"/>
  <c r="J111" i="28"/>
  <c r="G229" i="28"/>
  <c r="F228" i="28"/>
  <c r="G64" i="9" s="1"/>
  <c r="H122" i="28"/>
  <c r="I123" i="28"/>
  <c r="H159" i="28" l="1"/>
  <c r="I42" i="9"/>
  <c r="I43" i="9" s="1"/>
  <c r="H229" i="28"/>
  <c r="G228" i="28"/>
  <c r="H64" i="9" s="1"/>
  <c r="J110" i="28"/>
  <c r="K41" i="9" s="1"/>
  <c r="K111" i="28"/>
  <c r="I122" i="28"/>
  <c r="J123" i="28"/>
  <c r="I176" i="28"/>
  <c r="H175" i="28"/>
  <c r="I53" i="9" s="1"/>
  <c r="I159" i="28" l="1"/>
  <c r="J42" i="9"/>
  <c r="J43" i="9" s="1"/>
  <c r="L111" i="28"/>
  <c r="K110" i="28"/>
  <c r="L41" i="9" s="1"/>
  <c r="I229" i="28"/>
  <c r="H228" i="28"/>
  <c r="I64" i="9" s="1"/>
  <c r="J176" i="28"/>
  <c r="I175" i="28"/>
  <c r="J53" i="9" s="1"/>
  <c r="K123" i="28"/>
  <c r="J122" i="28"/>
  <c r="J159" i="28" l="1"/>
  <c r="K42" i="9"/>
  <c r="K43" i="9" s="1"/>
  <c r="L123" i="28"/>
  <c r="K122" i="28"/>
  <c r="M111" i="28"/>
  <c r="L110" i="28"/>
  <c r="M41" i="9" s="1"/>
  <c r="K176" i="28"/>
  <c r="J175" i="28"/>
  <c r="K53" i="9" s="1"/>
  <c r="J229" i="28"/>
  <c r="I228" i="28"/>
  <c r="J64" i="9" s="1"/>
  <c r="K159" i="28" l="1"/>
  <c r="L42" i="9"/>
  <c r="L43" i="9" s="1"/>
  <c r="K229" i="28"/>
  <c r="J228" i="28"/>
  <c r="K64" i="9" s="1"/>
  <c r="L176" i="28"/>
  <c r="K175" i="28"/>
  <c r="L53" i="9" s="1"/>
  <c r="M110" i="28"/>
  <c r="N41" i="9" s="1"/>
  <c r="B164" i="28"/>
  <c r="N111" i="28"/>
  <c r="L122" i="28"/>
  <c r="M123" i="28"/>
  <c r="L159" i="28" l="1"/>
  <c r="M42" i="9"/>
  <c r="M43" i="9" s="1"/>
  <c r="T5" i="28"/>
  <c r="T4" i="28" s="1"/>
  <c r="N110" i="28"/>
  <c r="B163" i="28"/>
  <c r="C164" i="28"/>
  <c r="M176" i="28"/>
  <c r="L175" i="28"/>
  <c r="M53" i="9" s="1"/>
  <c r="L229" i="28"/>
  <c r="K228" i="28"/>
  <c r="L64" i="9" s="1"/>
  <c r="M122" i="28"/>
  <c r="N123" i="28"/>
  <c r="N122" i="28" s="1"/>
  <c r="M159" i="28" l="1"/>
  <c r="N42" i="9"/>
  <c r="N43" i="9" s="1"/>
  <c r="B212" i="28"/>
  <c r="C52" i="9"/>
  <c r="C54" i="9" s="1"/>
  <c r="T17" i="28"/>
  <c r="T54" i="28" s="1"/>
  <c r="B29" i="10" s="1"/>
  <c r="O42" i="9"/>
  <c r="N159" i="28"/>
  <c r="E10" i="22" s="1"/>
  <c r="F10" i="22" s="1"/>
  <c r="M175" i="28"/>
  <c r="N53" i="9" s="1"/>
  <c r="N176" i="28"/>
  <c r="N175" i="28" s="1"/>
  <c r="U17" i="28" s="1"/>
  <c r="M229" i="28"/>
  <c r="L228" i="28"/>
  <c r="M64" i="9" s="1"/>
  <c r="C163" i="28"/>
  <c r="D164" i="28"/>
  <c r="I29" i="10" l="1"/>
  <c r="H29" i="10"/>
  <c r="D29" i="10"/>
  <c r="E29" i="10"/>
  <c r="F29" i="10"/>
  <c r="G29" i="10" s="1"/>
  <c r="C29" i="10"/>
  <c r="J29" i="10"/>
  <c r="C212" i="28"/>
  <c r="D52" i="9"/>
  <c r="D54" i="9" s="1"/>
  <c r="M228" i="28"/>
  <c r="N64" i="9" s="1"/>
  <c r="N229" i="28"/>
  <c r="N228" i="28" s="1"/>
  <c r="V17" i="28" s="1"/>
  <c r="E164" i="28"/>
  <c r="D163" i="28"/>
  <c r="D212" i="28" l="1"/>
  <c r="E52" i="9"/>
  <c r="E54" i="9" s="1"/>
  <c r="E163" i="28"/>
  <c r="F164" i="28"/>
  <c r="M28" i="9"/>
  <c r="O28" i="9"/>
  <c r="B11" i="10"/>
  <c r="C11" i="10"/>
  <c r="D11" i="10"/>
  <c r="E11" i="10"/>
  <c r="F11" i="10"/>
  <c r="G11" i="10"/>
  <c r="H11" i="10"/>
  <c r="I11" i="10"/>
  <c r="J11" i="10"/>
  <c r="B13" i="10"/>
  <c r="C13" i="10"/>
  <c r="D13" i="10"/>
  <c r="E13" i="10"/>
  <c r="F13" i="10"/>
  <c r="G13" i="10"/>
  <c r="H13" i="10"/>
  <c r="I13" i="10"/>
  <c r="J13" i="10"/>
  <c r="B20" i="10"/>
  <c r="C20" i="10"/>
  <c r="D20" i="10"/>
  <c r="E20" i="10"/>
  <c r="F20" i="10"/>
  <c r="G20" i="10"/>
  <c r="H20" i="10"/>
  <c r="I20" i="10"/>
  <c r="J20" i="10"/>
  <c r="B22" i="10"/>
  <c r="C22" i="10"/>
  <c r="D22" i="10"/>
  <c r="E22" i="10"/>
  <c r="F22" i="10"/>
  <c r="G22" i="10"/>
  <c r="H22" i="10"/>
  <c r="I22" i="10"/>
  <c r="J22" i="10"/>
  <c r="B30" i="10"/>
  <c r="C30" i="10"/>
  <c r="D30" i="10"/>
  <c r="E30" i="10"/>
  <c r="F30" i="10"/>
  <c r="G30" i="10"/>
  <c r="H30" i="10"/>
  <c r="I30" i="10"/>
  <c r="J30" i="10"/>
  <c r="B32" i="10"/>
  <c r="C32" i="10"/>
  <c r="D32" i="10"/>
  <c r="E32" i="10"/>
  <c r="F32" i="10"/>
  <c r="G32" i="10"/>
  <c r="H32" i="10"/>
  <c r="I32" i="10"/>
  <c r="J32" i="10"/>
  <c r="G9" i="22"/>
  <c r="G10" i="22"/>
  <c r="I10" i="22" s="1"/>
  <c r="G11" i="22"/>
  <c r="G12" i="22"/>
  <c r="G13" i="22"/>
  <c r="D14" i="22"/>
  <c r="L11" i="10" l="1"/>
  <c r="L12" i="10"/>
  <c r="N12" i="10" s="1"/>
  <c r="D48" i="38" s="1"/>
  <c r="L26" i="38" s="1"/>
  <c r="H12" i="22"/>
  <c r="E212" i="28"/>
  <c r="F52" i="9"/>
  <c r="F54" i="9" s="1"/>
  <c r="I9" i="22"/>
  <c r="H9" i="22"/>
  <c r="H10" i="22"/>
  <c r="J10" i="22" s="1"/>
  <c r="G164" i="28"/>
  <c r="F163" i="28"/>
  <c r="H11" i="22"/>
  <c r="J9" i="22" l="1"/>
  <c r="N26" i="38"/>
  <c r="T26" i="38" s="1"/>
  <c r="G12" i="41" s="1"/>
  <c r="L40" i="38"/>
  <c r="F49" i="38"/>
  <c r="D40" i="38"/>
  <c r="F41" i="38" s="1"/>
  <c r="M8" i="38" s="1"/>
  <c r="N8" i="38" s="1"/>
  <c r="N13" i="10"/>
  <c r="F212" i="28"/>
  <c r="G52" i="9"/>
  <c r="G54" i="9" s="1"/>
  <c r="H14" i="22"/>
  <c r="H164" i="28"/>
  <c r="G163" i="28"/>
  <c r="M40" i="38" l="1"/>
  <c r="R40" i="38"/>
  <c r="G18" i="41"/>
  <c r="G212" i="28"/>
  <c r="H52" i="9"/>
  <c r="H54" i="9" s="1"/>
  <c r="I164" i="28"/>
  <c r="H163" i="28"/>
  <c r="G32" i="41" l="1"/>
  <c r="H10" i="41"/>
  <c r="H12" i="41"/>
  <c r="T8" i="38"/>
  <c r="N40" i="38"/>
  <c r="H212" i="28"/>
  <c r="I52" i="9"/>
  <c r="I54" i="9" s="1"/>
  <c r="J164" i="28"/>
  <c r="I163" i="28"/>
  <c r="C8" i="41" l="1"/>
  <c r="L8" i="41"/>
  <c r="C13" i="41"/>
  <c r="D29" i="41" s="1"/>
  <c r="H32" i="41"/>
  <c r="I212" i="28"/>
  <c r="J52" i="9"/>
  <c r="J54" i="9" s="1"/>
  <c r="K164" i="28"/>
  <c r="J163" i="28"/>
  <c r="L13" i="41" l="1"/>
  <c r="J212" i="28"/>
  <c r="K52" i="9"/>
  <c r="K54" i="9" s="1"/>
  <c r="K163" i="28"/>
  <c r="L164" i="28"/>
  <c r="L32" i="41" l="1"/>
  <c r="M13" i="41"/>
  <c r="K212" i="28"/>
  <c r="L52" i="9"/>
  <c r="L54" i="9" s="1"/>
  <c r="M164" i="28"/>
  <c r="L163" i="28"/>
  <c r="M32" i="41" l="1"/>
  <c r="M25" i="41"/>
  <c r="M29" i="41"/>
  <c r="M18" i="41"/>
  <c r="M8" i="41"/>
  <c r="L212" i="28"/>
  <c r="M52" i="9"/>
  <c r="M54" i="9" s="1"/>
  <c r="M163" i="28"/>
  <c r="B217" i="28"/>
  <c r="N164" i="28"/>
  <c r="M212" i="28" l="1"/>
  <c r="N52" i="9"/>
  <c r="N54" i="9" s="1"/>
  <c r="U5" i="28"/>
  <c r="U4" i="28" s="1"/>
  <c r="U54" i="28" s="1"/>
  <c r="B40" i="10" s="1"/>
  <c r="N163" i="28"/>
  <c r="N212" i="28" s="1"/>
  <c r="E11" i="22" s="1"/>
  <c r="C217" i="28"/>
  <c r="B216" i="28"/>
  <c r="B265" i="28" l="1"/>
  <c r="C63" i="9"/>
  <c r="C65" i="9" s="1"/>
  <c r="F11" i="22"/>
  <c r="I11" i="22"/>
  <c r="J40" i="10"/>
  <c r="D40" i="10"/>
  <c r="F40" i="10"/>
  <c r="I40" i="10"/>
  <c r="E40" i="10"/>
  <c r="H40" i="10"/>
  <c r="C40" i="10"/>
  <c r="B41" i="10"/>
  <c r="B43" i="10"/>
  <c r="D217" i="28"/>
  <c r="C216" i="28"/>
  <c r="G40" i="10" l="1"/>
  <c r="F41" i="10"/>
  <c r="F43" i="10"/>
  <c r="C41" i="10"/>
  <c r="C43" i="10"/>
  <c r="E41" i="10"/>
  <c r="E43" i="10"/>
  <c r="J41" i="10"/>
  <c r="J43" i="10"/>
  <c r="H41" i="10"/>
  <c r="H43" i="10"/>
  <c r="I41" i="10"/>
  <c r="I43" i="10"/>
  <c r="D41" i="10"/>
  <c r="D43" i="10"/>
  <c r="J11" i="22"/>
  <c r="C265" i="28"/>
  <c r="D63" i="9"/>
  <c r="D65" i="9" s="1"/>
  <c r="D216" i="28"/>
  <c r="E217" i="28"/>
  <c r="D265" i="28" l="1"/>
  <c r="E63" i="9"/>
  <c r="E65" i="9" s="1"/>
  <c r="G41" i="10"/>
  <c r="G43" i="10"/>
  <c r="F217" i="28"/>
  <c r="E216" i="28"/>
  <c r="E265" i="28" l="1"/>
  <c r="F63" i="9"/>
  <c r="F65" i="9" s="1"/>
  <c r="G217" i="28"/>
  <c r="F216" i="28"/>
  <c r="O41" i="9"/>
  <c r="O43" i="9" s="1"/>
  <c r="F265" i="28" l="1"/>
  <c r="G63" i="9"/>
  <c r="G65" i="9" s="1"/>
  <c r="H217" i="28"/>
  <c r="G216" i="28"/>
  <c r="G265" i="28" l="1"/>
  <c r="H63" i="9"/>
  <c r="H65" i="9" s="1"/>
  <c r="I217" i="28"/>
  <c r="H216" i="28"/>
  <c r="H265" i="28" l="1"/>
  <c r="I63" i="9"/>
  <c r="I65" i="9" s="1"/>
  <c r="J217" i="28"/>
  <c r="I216" i="28"/>
  <c r="I265" i="28" l="1"/>
  <c r="J63" i="9"/>
  <c r="J65" i="9" s="1"/>
  <c r="K217" i="28"/>
  <c r="J216" i="28"/>
  <c r="J265" i="28" l="1"/>
  <c r="K63" i="9"/>
  <c r="K65" i="9" s="1"/>
  <c r="L217" i="28"/>
  <c r="K216" i="28"/>
  <c r="K265" i="28" l="1"/>
  <c r="L63" i="9"/>
  <c r="L65" i="9" s="1"/>
  <c r="L216" i="28"/>
  <c r="M217" i="28"/>
  <c r="L265" i="28" l="1"/>
  <c r="M63" i="9"/>
  <c r="M65" i="9" s="1"/>
  <c r="M216" i="28"/>
  <c r="N217" i="28"/>
  <c r="M265" i="28" l="1"/>
  <c r="N63" i="9"/>
  <c r="N65" i="9" s="1"/>
  <c r="V5" i="28"/>
  <c r="V4" i="28" s="1"/>
  <c r="V54" i="28" s="1"/>
  <c r="B51" i="10" s="1"/>
  <c r="N216" i="28"/>
  <c r="N265" i="28" s="1"/>
  <c r="E12" i="22" s="1"/>
  <c r="F12" i="22" l="1"/>
  <c r="I12" i="22"/>
  <c r="J51" i="10"/>
  <c r="F51" i="10"/>
  <c r="I51" i="10"/>
  <c r="H51" i="10"/>
  <c r="D51" i="10"/>
  <c r="C51" i="10"/>
  <c r="E51" i="10"/>
  <c r="B52" i="10"/>
  <c r="B54" i="10"/>
  <c r="O52" i="9"/>
  <c r="E52" i="10" l="1"/>
  <c r="E54" i="10"/>
  <c r="D52" i="10"/>
  <c r="D54" i="10"/>
  <c r="G51" i="10"/>
  <c r="F52" i="10"/>
  <c r="F54" i="10"/>
  <c r="C52" i="10"/>
  <c r="C54" i="10"/>
  <c r="H52" i="10"/>
  <c r="H54" i="10"/>
  <c r="I52" i="10"/>
  <c r="I54" i="10"/>
  <c r="J52" i="10"/>
  <c r="J54" i="10"/>
  <c r="J12" i="22"/>
  <c r="J14" i="22" s="1"/>
  <c r="I14" i="22"/>
  <c r="C33" i="9"/>
  <c r="D33" i="9" s="1"/>
  <c r="E33" i="9" s="1"/>
  <c r="F33" i="9" s="1"/>
  <c r="G33" i="9" s="1"/>
  <c r="G19" i="22" l="1"/>
  <c r="G17" i="22"/>
  <c r="G52" i="10"/>
  <c r="G54" i="10"/>
  <c r="H33" i="9"/>
  <c r="I33" i="9" s="1"/>
  <c r="J33" i="9" s="1"/>
  <c r="K33" i="9" s="1"/>
  <c r="L33" i="9" s="1"/>
  <c r="M33" i="9" s="1"/>
  <c r="N33" i="9" s="1"/>
  <c r="O33" i="9" s="1"/>
  <c r="D18" i="9"/>
  <c r="E18" i="9" l="1"/>
  <c r="C44" i="9"/>
  <c r="D44" i="9" l="1"/>
  <c r="F18" i="9"/>
  <c r="C66" i="9"/>
  <c r="C55" i="9"/>
  <c r="E44" i="9" l="1"/>
  <c r="G18" i="9"/>
  <c r="H18" i="9" s="1"/>
  <c r="D66" i="9"/>
  <c r="D55" i="9"/>
  <c r="F44" i="9" l="1"/>
  <c r="E55" i="9"/>
  <c r="E66" i="9"/>
  <c r="F55" i="9" l="1"/>
  <c r="I18" i="9"/>
  <c r="G44" i="9"/>
  <c r="H44" i="9" s="1"/>
  <c r="F66" i="9"/>
  <c r="G55" i="9" l="1"/>
  <c r="J18" i="9"/>
  <c r="G66" i="9"/>
  <c r="K18" i="9" l="1"/>
  <c r="I44" i="9"/>
  <c r="H66" i="9"/>
  <c r="H55" i="9"/>
  <c r="I55" i="9" s="1"/>
  <c r="L18" i="9" l="1"/>
  <c r="J44" i="9"/>
  <c r="I66" i="9"/>
  <c r="J66" i="9" s="1"/>
  <c r="K44" i="9" l="1"/>
  <c r="J55" i="9"/>
  <c r="M18" i="9"/>
  <c r="K66" i="9"/>
  <c r="K55" i="9" l="1"/>
  <c r="L44" i="9"/>
  <c r="O63" i="9"/>
  <c r="L55" i="9"/>
  <c r="N18" i="9"/>
  <c r="O18" i="9" s="1"/>
  <c r="O16" i="9"/>
  <c r="P31" i="9"/>
  <c r="C76" i="9" s="1"/>
  <c r="C77" i="9" s="1"/>
  <c r="L66" i="9"/>
  <c r="M44" i="9" l="1"/>
  <c r="P16" i="9"/>
  <c r="B76" i="9" s="1"/>
  <c r="B77" i="9" s="1"/>
  <c r="O17" i="9"/>
  <c r="M55" i="9"/>
  <c r="M66" i="9"/>
  <c r="N44" i="9" l="1"/>
  <c r="O44" i="9" s="1"/>
  <c r="P42" i="9"/>
  <c r="D76" i="9" s="1"/>
  <c r="D77" i="9" s="1"/>
  <c r="N55" i="9" l="1"/>
  <c r="O55" i="9" s="1"/>
  <c r="O53" i="9"/>
  <c r="N66" i="9"/>
  <c r="O66" i="9" s="1"/>
  <c r="O64" i="9"/>
  <c r="P64" i="9" l="1"/>
  <c r="F76" i="9" s="1"/>
  <c r="F77" i="9" s="1"/>
  <c r="O65" i="9"/>
  <c r="P53" i="9"/>
  <c r="E76" i="9" s="1"/>
  <c r="E77" i="9" s="1"/>
  <c r="O54" i="9"/>
  <c r="T40" i="38" l="1"/>
  <c r="Q40" i="38"/>
  <c r="D18" i="41" l="1"/>
  <c r="D8" i="41" l="1"/>
  <c r="D25" i="41"/>
  <c r="D13" i="41"/>
  <c r="D32" i="41"/>
  <c r="B52" i="28" l="1"/>
  <c r="B51" i="28"/>
  <c r="B50" i="28"/>
  <c r="B49" i="28"/>
  <c r="A52" i="28"/>
  <c r="A51" i="28"/>
  <c r="A50" i="28"/>
  <c r="A49" i="28"/>
  <c r="B44" i="28"/>
  <c r="B43" i="28"/>
  <c r="B42" i="28"/>
  <c r="B41" i="28"/>
  <c r="A44" i="28"/>
  <c r="A43" i="28"/>
  <c r="A42" i="28"/>
  <c r="A41" i="28"/>
  <c r="B39" i="28"/>
  <c r="B38" i="28"/>
  <c r="B37" i="28"/>
  <c r="B36" i="28"/>
  <c r="B35" i="28"/>
  <c r="A39" i="28"/>
  <c r="A38" i="28"/>
  <c r="A37" i="28"/>
  <c r="A36" i="28"/>
  <c r="A35" i="28"/>
  <c r="B33" i="28"/>
  <c r="B32" i="28"/>
  <c r="B31" i="28"/>
  <c r="B30" i="28"/>
  <c r="B29" i="28"/>
  <c r="B28" i="28"/>
  <c r="B27" i="28"/>
  <c r="A33" i="28"/>
  <c r="A32" i="28"/>
  <c r="A31" i="28"/>
  <c r="A30" i="28"/>
  <c r="A29" i="28"/>
  <c r="A28" i="28"/>
  <c r="A27" i="28"/>
  <c r="B25" i="28"/>
  <c r="B24" i="28"/>
  <c r="B23" i="28"/>
  <c r="A25" i="28"/>
  <c r="A24" i="28"/>
  <c r="A23" i="28"/>
  <c r="B21" i="28"/>
  <c r="B20" i="28"/>
  <c r="B19" i="28"/>
  <c r="B18" i="28"/>
  <c r="A15" i="28"/>
  <c r="A14" i="28"/>
  <c r="A11" i="28"/>
  <c r="J4" i="4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usuario01</author>
  </authors>
  <commentList>
    <comment ref="F17" authorId="0" shapeId="0" xr:uid="{986004AC-23E4-9846-B37C-BC22F554A0A6}">
      <text>
        <r>
          <rPr>
            <b/>
            <sz val="8"/>
            <rFont val="Tahoma"/>
            <family val="2"/>
          </rPr>
          <t>VALOR ACTUAL NETO</t>
        </r>
      </text>
    </comment>
    <comment ref="F18" authorId="0" shapeId="0" xr:uid="{E9DA2826-518C-D64F-81CF-75E786349BFF}">
      <text>
        <r>
          <rPr>
            <b/>
            <sz val="8"/>
            <rFont val="Tahoma"/>
            <family val="2"/>
          </rPr>
          <t>TASA INTERNA DE RETORNO</t>
        </r>
      </text>
    </comment>
    <comment ref="F19" authorId="0" shapeId="0" xr:uid="{5F7B7DA8-C31D-3A45-BC35-C5DA080E5151}">
      <text>
        <r>
          <rPr>
            <b/>
            <sz val="8"/>
            <rFont val="Tahoma"/>
            <family val="2"/>
          </rPr>
          <t>RELACION BENEFICIO-COSTO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<sst xmlns="http://schemas.openxmlformats.org/spreadsheetml/2006/main" count="1166" uniqueCount="563">
  <si>
    <t>ESTUDIO FINANCIERO</t>
  </si>
  <si>
    <t>DATOS ADICIONALES</t>
  </si>
  <si>
    <t>Inflación</t>
  </si>
  <si>
    <t>Anual</t>
  </si>
  <si>
    <t>Incremento salarial</t>
  </si>
  <si>
    <t>Incremento volumen</t>
  </si>
  <si>
    <t>cada 3 meses durante el primer año</t>
  </si>
  <si>
    <t>Incremento precio unitario de venta</t>
  </si>
  <si>
    <t>A partir del segundo semestre del primer año y durante los sig años</t>
  </si>
  <si>
    <t>Depreciación en línea recta</t>
  </si>
  <si>
    <t>LISR</t>
  </si>
  <si>
    <t>Amortización de la deuda de acuerdo a la</t>
  </si>
  <si>
    <t>dependencia que otorgará el financiamiento</t>
  </si>
  <si>
    <t>ESTRUCTURA FINANCIERA</t>
  </si>
  <si>
    <t>PROYECTO:</t>
  </si>
  <si>
    <t>SOCIEDAD</t>
  </si>
  <si>
    <t xml:space="preserve">BENEFICIARIOS: </t>
  </si>
  <si>
    <t>DESGLOSE   DE   INVERSION   PARA  UN AÑO</t>
  </si>
  <si>
    <t xml:space="preserve">                  CONCEPTO</t>
  </si>
  <si>
    <t>UNIDAD DE</t>
  </si>
  <si>
    <t>CANTIDAD</t>
  </si>
  <si>
    <t xml:space="preserve">PRECIO </t>
  </si>
  <si>
    <t>COSTO</t>
  </si>
  <si>
    <t xml:space="preserve">              APORTACION</t>
  </si>
  <si>
    <t>MEDIDA</t>
  </si>
  <si>
    <t>UNITARIO</t>
  </si>
  <si>
    <t>TOTAL</t>
  </si>
  <si>
    <t>DEPENDENCIA</t>
  </si>
  <si>
    <t>GRUPO</t>
  </si>
  <si>
    <t>CAPITAL DE TRABAJO</t>
  </si>
  <si>
    <t>INVERSION FIJA</t>
  </si>
  <si>
    <t>Subtotal</t>
  </si>
  <si>
    <t>OBRA CIVIL</t>
  </si>
  <si>
    <t xml:space="preserve">TOTAL </t>
  </si>
  <si>
    <t xml:space="preserve">PORCENTAJE </t>
  </si>
  <si>
    <t>ESTRUCTURA DE INGRESOS Y EGERESOS</t>
  </si>
  <si>
    <t>SITUACION FINANCIERA ACTUAL Y PROYECTADA</t>
  </si>
  <si>
    <t xml:space="preserve"> FLUJO  DE I N G R E S O S   Y   E G R E S O S   </t>
  </si>
  <si>
    <t>PRIMER AÑO DE INVERSIÓN</t>
  </si>
  <si>
    <t>C O N C E P T O</t>
  </si>
  <si>
    <t>1 MES</t>
  </si>
  <si>
    <t>2 MES</t>
  </si>
  <si>
    <t>3 MES</t>
  </si>
  <si>
    <t>4 MES</t>
  </si>
  <si>
    <t>5 MES</t>
  </si>
  <si>
    <t>6 MES</t>
  </si>
  <si>
    <t>7 MES</t>
  </si>
  <si>
    <t>8 MES</t>
  </si>
  <si>
    <t>9 MES</t>
  </si>
  <si>
    <t>10 MES</t>
  </si>
  <si>
    <t>11 MES</t>
  </si>
  <si>
    <t>12 MES</t>
  </si>
  <si>
    <t>INGRESOS POR VENTAS</t>
  </si>
  <si>
    <t xml:space="preserve">TOTAL DE INGRESOS </t>
  </si>
  <si>
    <t xml:space="preserve">EGRESOS </t>
  </si>
  <si>
    <t>VARIABLE</t>
  </si>
  <si>
    <t>FIJOS</t>
  </si>
  <si>
    <t xml:space="preserve">SALDO                  </t>
  </si>
  <si>
    <t>SALDO ACUMULADO</t>
  </si>
  <si>
    <t>PROYECCION  FINANCIERA ANUAL</t>
  </si>
  <si>
    <t>SEGUNDO AÑO DE INVERSIÓN</t>
  </si>
  <si>
    <t>CAPACIDAD DE PAGO</t>
  </si>
  <si>
    <t>CONCEPTO</t>
  </si>
  <si>
    <t>PRMER AÑO</t>
  </si>
  <si>
    <t>SEGUNDO AÑO</t>
  </si>
  <si>
    <t>TERCER AÑO</t>
  </si>
  <si>
    <t>CUARTO AÑO</t>
  </si>
  <si>
    <t>QUINTO AÑO</t>
  </si>
  <si>
    <t>INGRESOS</t>
  </si>
  <si>
    <t>EGRESOS</t>
  </si>
  <si>
    <t>MEMORIAS DE CALCULO COSTOS VARIABLES</t>
  </si>
  <si>
    <t xml:space="preserve">MEMORIA DE CALCULO MATERIA PRIMA  E INSUMOS  </t>
  </si>
  <si>
    <t>CANT</t>
  </si>
  <si>
    <t>C.U.</t>
  </si>
  <si>
    <t>MEMORIA DE CALCULO DE MOD</t>
  </si>
  <si>
    <t>MEMORIA  DE CALCULO MANO DE OBRA PARA LA INVERSION FIJA</t>
  </si>
  <si>
    <t>MEMORIAS DE CALCULO GASTOS FIJOS</t>
  </si>
  <si>
    <t>MEMORIA DE CALCULO GASTOS DE ADMINISTRACIÓN</t>
  </si>
  <si>
    <t>MESES</t>
  </si>
  <si>
    <t>MEMORIA DE CALCULO GASTOS DE VENTA</t>
  </si>
  <si>
    <t>MEMORIA DE CALCULO GASTOS SOCIALES</t>
  </si>
  <si>
    <t>MEMORIA  DE CALCULO GASTOS FIJOS PARA LA INVERSION FIJA</t>
  </si>
  <si>
    <t>MEMORIAS DE INGRESOS</t>
  </si>
  <si>
    <t>CONCEPTOS</t>
  </si>
  <si>
    <t>INGRESOS POR VENTA MENSUAL AÑO 1</t>
  </si>
  <si>
    <t>MES</t>
  </si>
  <si>
    <t xml:space="preserve">ANUAL </t>
  </si>
  <si>
    <t>TOTAL DE INGRESOS</t>
  </si>
  <si>
    <t>INGRESOS POR VENTA MENSUAL AÑO 2</t>
  </si>
  <si>
    <t>INGRESOS POR VENTA MENSUAL AÑO 3</t>
  </si>
  <si>
    <t>INGRESOS POR VENTA MENSUAL AÑO 4</t>
  </si>
  <si>
    <t>CALCULO DE DEPRECIACIONES Y AMORTIZACIONES</t>
  </si>
  <si>
    <t xml:space="preserve"> MUEBLES Y EQUIPO </t>
  </si>
  <si>
    <t>VALOR</t>
  </si>
  <si>
    <t>VIDA UTIL (AÑOS)</t>
  </si>
  <si>
    <t>TASA DE DEPREC.</t>
  </si>
  <si>
    <t>DEPRECIACION (ANUAL)</t>
  </si>
  <si>
    <t>DEPRECIACION (MENSUAL)</t>
  </si>
  <si>
    <t>DEPRC. ACUM</t>
  </si>
  <si>
    <t>REMANENTE</t>
  </si>
  <si>
    <t>MAQUINARIA</t>
  </si>
  <si>
    <t>AMORTIZACIÓN DE LA DEUDA</t>
  </si>
  <si>
    <t>PAGO CAPITAL</t>
  </si>
  <si>
    <t>COSTOS DE PRODUCCION AÑO 1</t>
  </si>
  <si>
    <t>VARIABLES</t>
  </si>
  <si>
    <t>TOTAL VARIABLES</t>
  </si>
  <si>
    <t>TOTAL FIJOS</t>
  </si>
  <si>
    <t>TOTAL COSTO OPERACIÓN</t>
  </si>
  <si>
    <t>AÑO 1</t>
  </si>
  <si>
    <t>AÑO 2</t>
  </si>
  <si>
    <t>AÑO 3</t>
  </si>
  <si>
    <t>AÑO 4</t>
  </si>
  <si>
    <t>AÑO 5</t>
  </si>
  <si>
    <t>VENTAS</t>
  </si>
  <si>
    <t>COSTOS FIJOS</t>
  </si>
  <si>
    <t>SENSIBILIZACION</t>
  </si>
  <si>
    <t>PARA EL PRIMER AÑO</t>
  </si>
  <si>
    <t>CAMBIO EN VENTAS</t>
  </si>
  <si>
    <t>CAMBIO EN COSTOS</t>
  </si>
  <si>
    <t>TOTAL PROYECTO</t>
  </si>
  <si>
    <t>COSTOS TOTALES</t>
  </si>
  <si>
    <t>RELACION B/C</t>
  </si>
  <si>
    <t>PARA EL SEGUNDO AÑO</t>
  </si>
  <si>
    <t>PARA EL TERCER AÑO</t>
  </si>
  <si>
    <t>PARA EL CUARTO AÑO</t>
  </si>
  <si>
    <t>PARA EL QUINTO AÑO</t>
  </si>
  <si>
    <t xml:space="preserve">     VAN, TIR Y  B/C</t>
  </si>
  <si>
    <t>TASA DE ACTUALIZACIÓN</t>
  </si>
  <si>
    <t>%</t>
  </si>
  <si>
    <t>AÑO</t>
  </si>
  <si>
    <t xml:space="preserve">COSTOS  </t>
  </si>
  <si>
    <t xml:space="preserve">FLUJO DE EFECTIVO </t>
  </si>
  <si>
    <t xml:space="preserve"> TASA</t>
  </si>
  <si>
    <t xml:space="preserve"> (1+t)-n</t>
  </si>
  <si>
    <t>ACTUALIZADOS</t>
  </si>
  <si>
    <t>VAN</t>
  </si>
  <si>
    <t>TIR</t>
  </si>
  <si>
    <t>B/C</t>
  </si>
  <si>
    <t>PASIVO</t>
  </si>
  <si>
    <t>CAPITAL CONTABLE</t>
  </si>
  <si>
    <t>CRONOGRAMA DE ACTIVIDADES</t>
  </si>
  <si>
    <t xml:space="preserve">               CRONOGRAMA DE ACTIVIDADES</t>
  </si>
  <si>
    <t xml:space="preserve">               CRONOGRAMA DE ACTIVIDADES SEGUNDO AÑO</t>
  </si>
  <si>
    <t xml:space="preserve">               CRONOGRAMA DE ACTIVIDADES TERCER AÑO</t>
  </si>
  <si>
    <t xml:space="preserve">               CRONOGRAMA DE ACTIVIDADES CUARTO AÑO</t>
  </si>
  <si>
    <t>Seguro social (IMSS)</t>
  </si>
  <si>
    <t>Mes</t>
  </si>
  <si>
    <t>Uniformes y protección</t>
  </si>
  <si>
    <t> </t>
  </si>
  <si>
    <t>ESTRUCTURA DE INGRESOS Y EGRESOS</t>
  </si>
  <si>
    <t xml:space="preserve"> C.U. </t>
  </si>
  <si>
    <t xml:space="preserve"> TOTAL </t>
  </si>
  <si>
    <t>Renta del local</t>
  </si>
  <si>
    <t>Internet / teléfono</t>
  </si>
  <si>
    <t>Permisos y licencias</t>
  </si>
  <si>
    <t>Mantenimiento</t>
  </si>
  <si>
    <t>Depreciaciones</t>
  </si>
  <si>
    <t>Agua</t>
  </si>
  <si>
    <t>Gas estacionario</t>
  </si>
  <si>
    <t>Limpieza / fumigación</t>
  </si>
  <si>
    <t>Mantenimiento de equipo</t>
  </si>
  <si>
    <t>Sustitución de mobiliario</t>
  </si>
  <si>
    <t>Herramientas menores</t>
  </si>
  <si>
    <t>Pintura / remodelaciones</t>
  </si>
  <si>
    <t>Repuestos / accesorios</t>
  </si>
  <si>
    <t>Taqueria Takirin "la chimenea"</t>
  </si>
  <si>
    <t>Roberto Hernandez Lira</t>
  </si>
  <si>
    <t>Energía eléctrica (Pago bimestral)</t>
  </si>
  <si>
    <t>Nómina operativa</t>
  </si>
  <si>
    <t>INFONAVIT</t>
  </si>
  <si>
    <t>Seguro de retiro y cesantía</t>
  </si>
  <si>
    <t>Nómina Operativa</t>
  </si>
  <si>
    <t>Mesero</t>
  </si>
  <si>
    <t>Verduras</t>
  </si>
  <si>
    <t>Ensaladas</t>
  </si>
  <si>
    <t>Guarniciones</t>
  </si>
  <si>
    <t>Salsas y Járabes</t>
  </si>
  <si>
    <t>Empaquetado</t>
  </si>
  <si>
    <t>Parrillero</t>
  </si>
  <si>
    <t>Parrillero auxiliar</t>
  </si>
  <si>
    <t>Pastorero</t>
  </si>
  <si>
    <t>Nómina Administrativa</t>
  </si>
  <si>
    <t>Cajero</t>
  </si>
  <si>
    <t>Contador</t>
  </si>
  <si>
    <t>Compras</t>
  </si>
  <si>
    <t>Lavatrastes</t>
  </si>
  <si>
    <t xml:space="preserve">Taco al pastor </t>
  </si>
  <si>
    <t>Taco arabe gigante</t>
  </si>
  <si>
    <t>Matahambre</t>
  </si>
  <si>
    <t>Gramos</t>
  </si>
  <si>
    <t>40-50</t>
  </si>
  <si>
    <t xml:space="preserve">Carne de cerdo marinada estilo oriental </t>
  </si>
  <si>
    <t>Tortilla de maíz</t>
  </si>
  <si>
    <t>Pieza</t>
  </si>
  <si>
    <t>Pan árabe (Pita)</t>
  </si>
  <si>
    <t>Tocino</t>
  </si>
  <si>
    <t>Piña</t>
  </si>
  <si>
    <t xml:space="preserve"> $        100.00</t>
  </si>
  <si>
    <t>Cebolla</t>
  </si>
  <si>
    <t>Chile poblano</t>
  </si>
  <si>
    <t>Cilantro</t>
  </si>
  <si>
    <t>Jitomate</t>
  </si>
  <si>
    <t xml:space="preserve"> $        109.60</t>
  </si>
  <si>
    <t xml:space="preserve"> $        220.00</t>
  </si>
  <si>
    <t>Porcentaje</t>
  </si>
  <si>
    <t>Medida</t>
  </si>
  <si>
    <t xml:space="preserve">C.U. </t>
  </si>
  <si>
    <t xml:space="preserve"> TOTAL MENSUAL</t>
  </si>
  <si>
    <t>Energía eléctrica</t>
  </si>
  <si>
    <t>Gas LP</t>
  </si>
  <si>
    <t>Depreciacion en eq. De producción</t>
  </si>
  <si>
    <t>Servicios profesionales de empresa constructora para adecuación del local (proyecto arquitectónico, obra civil, instalaciones eléctricas, plomería y acabados)</t>
  </si>
  <si>
    <t>Proyecto</t>
  </si>
  <si>
    <t xml:space="preserve"> $ 1,500,000.00</t>
  </si>
  <si>
    <t xml:space="preserve"> $       1,500,000.00</t>
  </si>
  <si>
    <t>Supervisión y dirección de obra (incluida en contrato)</t>
  </si>
  <si>
    <t>Incluido</t>
  </si>
  <si>
    <t>El monto corresponde al contrato global con la empresa de arquitectura encargada del diseño y construcción de la nueva sucursal. Incluye toda la mano de obra directa e indirecta del proyecto.</t>
  </si>
  <si>
    <t>Pago de salarios a personal de producción</t>
  </si>
  <si>
    <t>Sueldo semanal</t>
  </si>
  <si>
    <t>Sueldo neto semanal</t>
  </si>
  <si>
    <t>Sueldo neto mensual</t>
  </si>
  <si>
    <t>Sueldo neto bimestral</t>
  </si>
  <si>
    <t>Salsas y jarabes</t>
  </si>
  <si>
    <t xml:space="preserve"> $            19,950.00</t>
  </si>
  <si>
    <t>Edificio</t>
  </si>
  <si>
    <t>Terreno</t>
  </si>
  <si>
    <t>Juego de sillas y mesas</t>
  </si>
  <si>
    <t>Mesas de trabajo</t>
  </si>
  <si>
    <t xml:space="preserve">Instrumentos de cocina </t>
  </si>
  <si>
    <t xml:space="preserve">Máquina de empaquetado </t>
  </si>
  <si>
    <t xml:space="preserve">Planchas </t>
  </si>
  <si>
    <t xml:space="preserve">Trampa de aceite </t>
  </si>
  <si>
    <t>Trompos</t>
  </si>
  <si>
    <t xml:space="preserve">Molinos industriales </t>
  </si>
  <si>
    <t xml:space="preserve">Congeladores </t>
  </si>
  <si>
    <t xml:space="preserve">Equipo de registro de venta </t>
  </si>
  <si>
    <t xml:space="preserve">Indefinido </t>
  </si>
  <si>
    <t>Campana</t>
  </si>
  <si>
    <t>Tacos al pastor</t>
  </si>
  <si>
    <t>v</t>
  </si>
  <si>
    <t>TACOS</t>
  </si>
  <si>
    <t>ARABE</t>
  </si>
  <si>
    <t>MATAHAMBRE</t>
  </si>
  <si>
    <t>DIARIO</t>
  </si>
  <si>
    <t>MENSUAL</t>
  </si>
  <si>
    <t>Productos del local</t>
  </si>
  <si>
    <t xml:space="preserve">Carne de cerdo adobada al pastor </t>
  </si>
  <si>
    <t>COSTOS DE PRODUCCION AÑO 2</t>
  </si>
  <si>
    <t>COSTOS DE PRODUCCION AÑO 3</t>
  </si>
  <si>
    <t>COSTOS DE PRODUCCION AÑO 4</t>
  </si>
  <si>
    <t>COSTOS DE PRODUCCION AÑO 5</t>
  </si>
  <si>
    <t>TERCER AÑO DE INVERSIÓN</t>
  </si>
  <si>
    <t>CUARTO AÑO DE INVERSIÓN</t>
  </si>
  <si>
    <t xml:space="preserve">TOTAL DE EGRESOS </t>
  </si>
  <si>
    <t>Verduras, ensaladas y guarniciones</t>
  </si>
  <si>
    <t>Coordinador de parrilla</t>
  </si>
  <si>
    <t>Parrillero plancha</t>
  </si>
  <si>
    <t>Gerente general</t>
  </si>
  <si>
    <t>Asesor</t>
  </si>
  <si>
    <t>Supervisor de envios y calidad</t>
  </si>
  <si>
    <t>Norteño</t>
  </si>
  <si>
    <t>Ballenita</t>
  </si>
  <si>
    <t>Hamburguesa Hawaiana</t>
  </si>
  <si>
    <t>Taco de Maciza</t>
  </si>
  <si>
    <t>Taco de Suadero</t>
  </si>
  <si>
    <t>Tortas hawaiana</t>
  </si>
  <si>
    <t>Una tazas de cafe americano</t>
  </si>
  <si>
    <t>1 litro de agua de horchata</t>
  </si>
  <si>
    <t xml:space="preserve"> </t>
  </si>
  <si>
    <t>ISR</t>
  </si>
  <si>
    <t>Parrillero vapor</t>
  </si>
  <si>
    <t>Tacos de Cabeza</t>
  </si>
  <si>
    <t>Tacos de Bistec</t>
  </si>
  <si>
    <t>PROYECTO: Nueva sucursal y maquinaria</t>
  </si>
  <si>
    <t>SOCIEDAD: Taqueria el takirin "La chimenea"</t>
  </si>
  <si>
    <t>Total</t>
  </si>
  <si>
    <t>Inv. Diferida</t>
  </si>
  <si>
    <t>Inv. Fija</t>
  </si>
  <si>
    <t xml:space="preserve">  </t>
  </si>
  <si>
    <t>Cap. Trab.</t>
  </si>
  <si>
    <t>SERVICIO</t>
  </si>
  <si>
    <t>PAGO DE HONORARIOS</t>
  </si>
  <si>
    <t>CAPACITACION</t>
  </si>
  <si>
    <t>INVERSION DIFERIDA</t>
  </si>
  <si>
    <t>EQUIPO DE REGISTRO DE VENTA</t>
  </si>
  <si>
    <t>INSTRUMENTOS DE COCINA</t>
  </si>
  <si>
    <t>UNIDADES</t>
  </si>
  <si>
    <t>MESAS DE TRABAJO</t>
  </si>
  <si>
    <t>JUEGOS</t>
  </si>
  <si>
    <t>MOBILIARIO</t>
  </si>
  <si>
    <t>CONGELADORES</t>
  </si>
  <si>
    <t>MOLINOS INDUSTRIALES</t>
  </si>
  <si>
    <t>CAMPANA</t>
  </si>
  <si>
    <t xml:space="preserve">TROMPOS </t>
  </si>
  <si>
    <t>UNIDAD</t>
  </si>
  <si>
    <t>TRAMPA DE ACEITE</t>
  </si>
  <si>
    <t>PLANCHAS</t>
  </si>
  <si>
    <t>MAQUINARIA DE EMPAQUETADO</t>
  </si>
  <si>
    <t>LOTE</t>
  </si>
  <si>
    <t>TERRENO</t>
  </si>
  <si>
    <t>EDIFICIO</t>
  </si>
  <si>
    <t>Cap. Trabajo</t>
  </si>
  <si>
    <t>FIRA</t>
  </si>
  <si>
    <t>Salarios</t>
  </si>
  <si>
    <t>Arquitecto</t>
  </si>
  <si>
    <t>Albañiles</t>
  </si>
  <si>
    <t>Electricistas</t>
  </si>
  <si>
    <t>Carpinteros</t>
  </si>
  <si>
    <t>Impuestos</t>
  </si>
  <si>
    <t>Permisos del Ayuntamiento</t>
  </si>
  <si>
    <t>Impuestos de construcción</t>
  </si>
  <si>
    <t>Materiales para construcción</t>
  </si>
  <si>
    <t>Cemento</t>
  </si>
  <si>
    <t>Tablaroca</t>
  </si>
  <si>
    <t>Clavos</t>
  </si>
  <si>
    <t>Cables electricos</t>
  </si>
  <si>
    <t>Tubos PVC</t>
  </si>
  <si>
    <t>Pintura</t>
  </si>
  <si>
    <t>Arena</t>
  </si>
  <si>
    <t>Grava</t>
  </si>
  <si>
    <t>Varilla</t>
  </si>
  <si>
    <t>Madera para encofrado</t>
  </si>
  <si>
    <t>Mortero</t>
  </si>
  <si>
    <t>Yeso</t>
  </si>
  <si>
    <t>Ladrillos</t>
  </si>
  <si>
    <t>Malla de acero</t>
  </si>
  <si>
    <t>Pegamento para tablaroca</t>
  </si>
  <si>
    <t>Alambre recocido</t>
  </si>
  <si>
    <t>Herramientas (martillos, taladros, palas)</t>
  </si>
  <si>
    <t>Trabajador</t>
  </si>
  <si>
    <t>Paquete</t>
  </si>
  <si>
    <t>Global</t>
  </si>
  <si>
    <t>Saco</t>
  </si>
  <si>
    <t>Panel</t>
  </si>
  <si>
    <t>Caja</t>
  </si>
  <si>
    <t>Metro</t>
  </si>
  <si>
    <t>Tubo</t>
  </si>
  <si>
    <t>Lata</t>
  </si>
  <si>
    <t>Pza.</t>
  </si>
  <si>
    <t>Tabla</t>
  </si>
  <si>
    <t>Rollo</t>
  </si>
  <si>
    <t>Set</t>
  </si>
  <si>
    <t>INGRESOS POR VENTA MENSUAL AÑO 5</t>
  </si>
  <si>
    <t>Nueva Sucursal "Takirin"</t>
  </si>
  <si>
    <t>Taqueria la Chimenea "Takirin"</t>
  </si>
  <si>
    <t>QUINTO AÑO DE INVERSIÓN</t>
  </si>
  <si>
    <t>MEMORIA DE CALCULO GASTOS INDIRECTOS DE FABRICACION</t>
  </si>
  <si>
    <t>SALDO</t>
  </si>
  <si>
    <t>TAKIRIN</t>
  </si>
  <si>
    <t xml:space="preserve"> TAQUERIA TAKIRIN "LA CHIMENEA"</t>
  </si>
  <si>
    <t>UTILIDAD O PERDIDA</t>
  </si>
  <si>
    <t>COSTOS FIJO</t>
  </si>
  <si>
    <t>MARGEN DE CONTRIBUCION</t>
  </si>
  <si>
    <t>COSTOS VARIABLE</t>
  </si>
  <si>
    <t>=</t>
  </si>
  <si>
    <t>*</t>
  </si>
  <si>
    <t>P.E UNI * PRECIO UNI</t>
  </si>
  <si>
    <t>OTRA FORMA</t>
  </si>
  <si>
    <t>1-</t>
  </si>
  <si>
    <t>PRECIO UNI</t>
  </si>
  <si>
    <t>COSTO VARIABLE</t>
  </si>
  <si>
    <t>P.E. s/=</t>
  </si>
  <si>
    <t>PRECIO VENTA UNI - COSTO VARIABLE UNI</t>
  </si>
  <si>
    <t>P.E. UNI =</t>
  </si>
  <si>
    <t>COSTO FIJO TOTAL</t>
  </si>
  <si>
    <t>COSTO VARI UNI</t>
  </si>
  <si>
    <t>TAQUERIA TAKIRIN "LA CHIMENEA"</t>
  </si>
  <si>
    <t xml:space="preserve">Incremeneto del 9% del precio unitario anual </t>
  </si>
  <si>
    <t>Takirin "La chimenea"</t>
  </si>
  <si>
    <t>Número de cuotas</t>
  </si>
  <si>
    <t>INTERES</t>
  </si>
  <si>
    <t xml:space="preserve">EQUIPO DE REGISTRO DE VENTA TERMINAL </t>
  </si>
  <si>
    <t>FECHA:</t>
  </si>
  <si>
    <t xml:space="preserve">MONTO: </t>
  </si>
  <si>
    <t>SEGUNDA MINISTRACIÓN</t>
  </si>
  <si>
    <t>PRIMERA MINISTRACIÓN</t>
  </si>
  <si>
    <t>FECHAS DE PAGO</t>
  </si>
  <si>
    <t>PAGO TOTAL</t>
  </si>
  <si>
    <t>PAGO INTERES</t>
  </si>
  <si>
    <t>DEUDA ACUMULADA</t>
  </si>
  <si>
    <t>TASA DE INTERES</t>
  </si>
  <si>
    <t>Total de prestamo con interes</t>
  </si>
  <si>
    <t>TABLA DE AMORTIZACION DE LA DEUDA</t>
  </si>
  <si>
    <t>Cantidad solicitada</t>
  </si>
  <si>
    <t>Tasa de interes mensual</t>
  </si>
  <si>
    <t xml:space="preserve">Tasa de interes anual </t>
  </si>
  <si>
    <t>FECHA</t>
  </si>
  <si>
    <t>CUENTA</t>
  </si>
  <si>
    <t>DEBE</t>
  </si>
  <si>
    <t>HABER</t>
  </si>
  <si>
    <t>Bancos</t>
  </si>
  <si>
    <t>Clientes</t>
  </si>
  <si>
    <t xml:space="preserve">Inventario </t>
  </si>
  <si>
    <t>Deudores Diversos</t>
  </si>
  <si>
    <t>Contribuciones a favor</t>
  </si>
  <si>
    <t>Anticipo a Proveedores</t>
  </si>
  <si>
    <t>Edificios</t>
  </si>
  <si>
    <t>Maquinaria y equipos</t>
  </si>
  <si>
    <t>Mobiliario y equipo</t>
  </si>
  <si>
    <t xml:space="preserve">Equipo de transporte </t>
  </si>
  <si>
    <t xml:space="preserve">Equipo de cómputo </t>
  </si>
  <si>
    <t>Otro activo</t>
  </si>
  <si>
    <t>Proveedores Nacionales</t>
  </si>
  <si>
    <t xml:space="preserve">Socios y Accionistas </t>
  </si>
  <si>
    <t xml:space="preserve">Acreedores Diversos </t>
  </si>
  <si>
    <t>Impuestos Por Pagar</t>
  </si>
  <si>
    <t xml:space="preserve">Otros Pasivos </t>
  </si>
  <si>
    <t xml:space="preserve">Documentos por pagar a largo plazo </t>
  </si>
  <si>
    <t>Capital social</t>
  </si>
  <si>
    <t xml:space="preserve">Pérdidas Acumuladas </t>
  </si>
  <si>
    <t xml:space="preserve">Utilidades Acumuladas </t>
  </si>
  <si>
    <t xml:space="preserve">Otras cuentas de capital </t>
  </si>
  <si>
    <t>Depreciación acumulada</t>
  </si>
  <si>
    <t>BANCOS</t>
  </si>
  <si>
    <t>DOC X PAG LP</t>
  </si>
  <si>
    <t>CV</t>
  </si>
  <si>
    <t>GASTOS FIJOS</t>
  </si>
  <si>
    <t>GASTOS FINC</t>
  </si>
  <si>
    <t>Para registrar el prestamo de FIRA</t>
  </si>
  <si>
    <t>SALDOS</t>
  </si>
  <si>
    <t>MOBILIARIO Y EQUIPO</t>
  </si>
  <si>
    <t>Para registrar la construcción del edificio</t>
  </si>
  <si>
    <t>Para registrar la compra del equipo de cocina</t>
  </si>
  <si>
    <t>Para registrar la compra de la nueva maquinaria</t>
  </si>
  <si>
    <t>Para registrar los costos variables</t>
  </si>
  <si>
    <t>Para registrar las ventas por tacos</t>
  </si>
  <si>
    <t xml:space="preserve">Para registrar los gastos fijos </t>
  </si>
  <si>
    <t>Para registrar el pago de la deuda</t>
  </si>
  <si>
    <t>Para registrar los intereses de la deuda</t>
  </si>
  <si>
    <t>Gastos de intalación</t>
  </si>
  <si>
    <t>Cont a fav</t>
  </si>
  <si>
    <t>Terrenos</t>
  </si>
  <si>
    <t>INSUMOS</t>
  </si>
  <si>
    <t>Para el registro de los inventarios</t>
  </si>
  <si>
    <t>Ventas</t>
  </si>
  <si>
    <t>GF</t>
  </si>
  <si>
    <t>GFIN</t>
  </si>
  <si>
    <t>P Y G</t>
  </si>
  <si>
    <t>Para registrar el ISR</t>
  </si>
  <si>
    <t>IVA</t>
  </si>
  <si>
    <t>12)</t>
  </si>
  <si>
    <t>11)</t>
  </si>
  <si>
    <t>10)</t>
  </si>
  <si>
    <t>9)</t>
  </si>
  <si>
    <t xml:space="preserve">GASTOS FINANCIEROS </t>
  </si>
  <si>
    <t>7)</t>
  </si>
  <si>
    <t>6)</t>
  </si>
  <si>
    <t>2)</t>
  </si>
  <si>
    <t>5)</t>
  </si>
  <si>
    <t>(12</t>
  </si>
  <si>
    <t>(11</t>
  </si>
  <si>
    <t>(10</t>
  </si>
  <si>
    <t>(9</t>
  </si>
  <si>
    <t>(8</t>
  </si>
  <si>
    <t>(7</t>
  </si>
  <si>
    <t>(6</t>
  </si>
  <si>
    <t>(4</t>
  </si>
  <si>
    <t>8)</t>
  </si>
  <si>
    <t>(3</t>
  </si>
  <si>
    <t>4)</t>
  </si>
  <si>
    <t>3)</t>
  </si>
  <si>
    <t>(1</t>
  </si>
  <si>
    <t>(2</t>
  </si>
  <si>
    <t>1)</t>
  </si>
  <si>
    <t>PERDIDAS Y GANACIAS</t>
  </si>
  <si>
    <t>(13</t>
  </si>
  <si>
    <t>13)</t>
  </si>
  <si>
    <t>14)</t>
  </si>
  <si>
    <t>(14</t>
  </si>
  <si>
    <t>(15</t>
  </si>
  <si>
    <t>15)</t>
  </si>
  <si>
    <t>(16</t>
  </si>
  <si>
    <t>16)</t>
  </si>
  <si>
    <t>(17</t>
  </si>
  <si>
    <t>17)</t>
  </si>
  <si>
    <t>18)</t>
  </si>
  <si>
    <t>RESULT DEL EJERC</t>
  </si>
  <si>
    <t>(18</t>
  </si>
  <si>
    <t>PYG</t>
  </si>
  <si>
    <t xml:space="preserve">PYG </t>
  </si>
  <si>
    <t>GASTOS FINANCIEROS</t>
  </si>
  <si>
    <t xml:space="preserve">RESULTADO DEL EJ </t>
  </si>
  <si>
    <t>Resul del ejercicio</t>
  </si>
  <si>
    <t>SALDOS INICIALES</t>
  </si>
  <si>
    <t>MOVIMIENTOS</t>
  </si>
  <si>
    <t>AJUSTES</t>
  </si>
  <si>
    <t>SALDOS AJUSTADOS</t>
  </si>
  <si>
    <t>TOTAL PASIVO Y CAPITAL</t>
  </si>
  <si>
    <t>Total Capital Contable</t>
  </si>
  <si>
    <t>TOTAL PASIVOS</t>
  </si>
  <si>
    <t>Total Pasivo a Corto Plazo</t>
  </si>
  <si>
    <t>TOTAL ACTIVOS</t>
  </si>
  <si>
    <t>Pasivo a Corto Plazo</t>
  </si>
  <si>
    <t>Activo Fijo</t>
  </si>
  <si>
    <t>Total Activo Circulante</t>
  </si>
  <si>
    <t>Inventarios</t>
  </si>
  <si>
    <t>Activo Circulante</t>
  </si>
  <si>
    <t>ACTIVO</t>
  </si>
  <si>
    <t>AL 31 DE DICIEMBRE DE 2025</t>
  </si>
  <si>
    <t>ESTADO DE SITUACIÓN FINANCIERA</t>
  </si>
  <si>
    <t>Deudores diversos</t>
  </si>
  <si>
    <t>Anticipo a proveedores</t>
  </si>
  <si>
    <t>Total de fijo</t>
  </si>
  <si>
    <t>Pasivo a largo Plazo</t>
  </si>
  <si>
    <t>Documentos x pagar a largo plazo</t>
  </si>
  <si>
    <t>Perdidas acumuladas</t>
  </si>
  <si>
    <t>Utilidades acumuladas</t>
  </si>
  <si>
    <t>Otras cuentas de capital</t>
  </si>
  <si>
    <t>Utilidad del ejercicio</t>
  </si>
  <si>
    <t>EQUIPO DE PUNTO DE VENTA</t>
  </si>
  <si>
    <t>TAQUERIA TAKIRIN</t>
  </si>
  <si>
    <t>s</t>
  </si>
  <si>
    <t>Activo Diferido</t>
  </si>
  <si>
    <t>Total de diferido</t>
  </si>
  <si>
    <t>Total Pasivo a largo Plazo</t>
  </si>
  <si>
    <t>INICIO DE OPERACIONES 11 DE JULIO DEL 2002</t>
  </si>
  <si>
    <t>ESTADO DE RESULTADOS DEL 01 DE ENERO AL 31 DE DICIEMBRE DEL 2025</t>
  </si>
  <si>
    <t>Costo de ventas</t>
  </si>
  <si>
    <t>Utilidad Bruta</t>
  </si>
  <si>
    <t>Gastos Fijos</t>
  </si>
  <si>
    <t>Utilidad de Operación</t>
  </si>
  <si>
    <t>Productos Financieros</t>
  </si>
  <si>
    <t>Gastos Financieros</t>
  </si>
  <si>
    <t>Utilidad Financiera</t>
  </si>
  <si>
    <t>Otros Productos</t>
  </si>
  <si>
    <t>Otros Gastos</t>
  </si>
  <si>
    <t>Utilidad antes de Impuestos</t>
  </si>
  <si>
    <t>UTILIDAD DEL EJERCICIO</t>
  </si>
  <si>
    <t>Mayor a 7%</t>
  </si>
  <si>
    <t>TAQUERIA TAKIRIN LA CHIMENEA</t>
  </si>
  <si>
    <t xml:space="preserve">Capacitar al personal para mantenimiento a la maquinaria </t>
  </si>
  <si>
    <t xml:space="preserve">Implementar auditorias internas </t>
  </si>
  <si>
    <t>Crear una cadena de restaurantes</t>
  </si>
  <si>
    <t xml:space="preserve">Poscicionamiento a nivel nacional </t>
  </si>
  <si>
    <t>Optimizar layout de las distintas áreas</t>
  </si>
  <si>
    <t>Implementar un sistema de control de mermas KPI´s</t>
  </si>
  <si>
    <t xml:space="preserve">Participación en ferias nacionales fuera de la región </t>
  </si>
  <si>
    <t>Programa de lealtad para clientes</t>
  </si>
  <si>
    <t xml:space="preserve">Capacitación continua del personal </t>
  </si>
  <si>
    <t xml:space="preserve">Estandarización total de recetas y procesos </t>
  </si>
  <si>
    <t>Mantener una cartera diversificada y balanceada</t>
  </si>
  <si>
    <t>Diseñar un sistema de evaluación de proveedores</t>
  </si>
  <si>
    <t xml:space="preserve">Negociar contratros o acuerdos con proveedores convenientes </t>
  </si>
  <si>
    <t xml:space="preserve">Buscar proveesores alternos </t>
  </si>
  <si>
    <t>Identificar insumos criticos</t>
  </si>
  <si>
    <t xml:space="preserve">Aplicar a apoyos de capacitación </t>
  </si>
  <si>
    <t xml:space="preserve">Identificar porgramas municipales, estatales y federales </t>
  </si>
  <si>
    <t xml:space="preserve">Implementar dinamicas en redes sociales  </t>
  </si>
  <si>
    <t xml:space="preserve">Colaborar con influencers </t>
  </si>
  <si>
    <t>Publicar contenido constante en redes sociales</t>
  </si>
  <si>
    <t>Incentivar reseñas y recomendaciones de clientes</t>
  </si>
  <si>
    <t xml:space="preserve">Crearun calendario de contenido en redes sociales </t>
  </si>
  <si>
    <t>Definir público objetivo por zona</t>
  </si>
  <si>
    <t>Medir la satisfacción del cliente</t>
  </si>
  <si>
    <t xml:space="preserve">Ampliar cobertura del servicio </t>
  </si>
  <si>
    <t xml:space="preserve">Optimizar rutas y tiempos de entrega </t>
  </si>
  <si>
    <t xml:space="preserve">Implementar canales de pedido </t>
  </si>
  <si>
    <t xml:space="preserve">Contratar y capacitar repartidores </t>
  </si>
  <si>
    <t xml:space="preserve">Diseñar plítica de precios y tiempos de entrega </t>
  </si>
  <si>
    <t xml:space="preserve">Analizar la demanda de delivery por zona </t>
  </si>
  <si>
    <t xml:space="preserve">Construir un local propio </t>
  </si>
  <si>
    <t>Roberto Lira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</si>
</sst>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&quot;$&quot;#,##0.00_);[Red]\(&quot;$&quot;#,##0.00\)"/>
    <numFmt numFmtId="166" formatCode="_(* #,##0_);_(* \(#,##0\);_(* &quot;-&quot;_);_(@_)"/>
    <numFmt numFmtId="167" formatCode="_-[$€-2]* #,##0.00_-;\-[$€-2]* #,##0.00_-;_-[$€-2]* &quot;-&quot;??_-"/>
    <numFmt numFmtId="168" formatCode="_-* #,##0.00\ _€_-;\-* #,##0.00\ _€_-;_-* &quot;-&quot;??\ _€_-;_-@_-"/>
    <numFmt numFmtId="169" formatCode="&quot;$&quot;#,##0.00"/>
    <numFmt numFmtId="170" formatCode="[$$-80A]#,##0.00"/>
    <numFmt numFmtId="171" formatCode="_(&quot;$&quot;* #,##0.0_);_(&quot;$&quot;* \(#,##0.0\);_(&quot;$&quot;* &quot;-&quot;??_);_(@_)"/>
    <numFmt numFmtId="172" formatCode="0.000"/>
    <numFmt numFmtId="173" formatCode="_-[$$-409]* #,##0.00_ ;_-[$$-409]* \-#,##0.00\ ;_-[$$-409]* &quot;-&quot;??_ ;_-@_ "/>
    <numFmt numFmtId="174" formatCode="_(&quot;$&quot;* #,##0.00_);_(&quot;$&quot;* \(#,##0.00\);_(&quot;$&quot;* &quot;-&quot;??_);_(@_)"/>
    <numFmt numFmtId="175" formatCode="_-&quot;$&quot;* #,##0_-;\-&quot;$&quot;* #,##0_-;_-&quot;$&quot;* &quot;-&quot;??_-;_-@_-"/>
    <numFmt numFmtId="176" formatCode="0.0"/>
    <numFmt numFmtId="177" formatCode="_-* #,##0.00\ &quot;€&quot;_-;\-* #,##0.00\ &quot;€&quot;_-;_-* &quot;-&quot;??\ &quot;€&quot;_-;_-@_-"/>
    <numFmt numFmtId="178" formatCode="_-[$$-80A]* #,##0.00_-;\-[$$-80A]* #,##0.00_-;_-[$$-80A]* &quot;-&quot;??_-;_-@_-"/>
    <numFmt numFmtId="179" formatCode="0.0%"/>
  </numFmts>
  <fonts count="7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6"/>
      <name val="Calibri"/>
      <family val="2"/>
    </font>
    <font>
      <b/>
      <i/>
      <sz val="12"/>
      <name val="Arial"/>
      <family val="2"/>
    </font>
    <font>
      <b/>
      <sz val="16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11"/>
      <color indexed="8"/>
      <name val="Arial"/>
      <family val="2"/>
    </font>
    <font>
      <b/>
      <sz val="16"/>
      <name val="Arial"/>
      <family val="2"/>
    </font>
    <font>
      <b/>
      <sz val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8"/>
      <name val="Arial"/>
      <family val="2"/>
    </font>
    <font>
      <b/>
      <i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4"/>
      <color rgb="FF00B050"/>
      <name val="Arial"/>
      <family val="2"/>
    </font>
    <font>
      <b/>
      <sz val="12"/>
      <color theme="0"/>
      <name val="Arial"/>
      <family val="2"/>
    </font>
    <font>
      <sz val="11"/>
      <color rgb="FF000000"/>
      <name val="Calibri"/>
      <family val="2"/>
    </font>
    <font>
      <sz val="11"/>
      <color rgb="FF3A3A3A"/>
      <name val="Calibri"/>
      <family val="2"/>
      <scheme val="minor"/>
    </font>
    <font>
      <sz val="14"/>
      <color rgb="FF3A3A3A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b/>
      <sz val="11"/>
      <color rgb="FFC00000"/>
      <name val="Calibri"/>
      <family val="2"/>
      <scheme val="minor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8"/>
      <color theme="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388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39997558519241921"/>
        <bgColor rgb="FF92D050"/>
      </patternFill>
    </fill>
    <fill>
      <patternFill patternType="solid">
        <fgColor theme="9"/>
        <bgColor rgb="FFFFFF00"/>
      </patternFill>
    </fill>
    <fill>
      <patternFill patternType="solid">
        <fgColor theme="3" tint="0.39997558519241921"/>
        <bgColor rgb="FFFFFF00"/>
      </patternFill>
    </fill>
  </fills>
  <borders count="71">
    <border>
      <left/>
      <right/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</borders>
  <cellStyleXfs count="22">
    <xf numFmtId="0" fontId="0" fillId="0" borderId="0"/>
    <xf numFmtId="43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32" fillId="0" borderId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17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760">
    <xf numFmtId="0" fontId="0" fillId="0" borderId="0" xfId="0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3" xfId="0" applyFont="1" applyBorder="1"/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3" fillId="3" borderId="3" xfId="0" applyFont="1" applyFill="1" applyBorder="1"/>
    <xf numFmtId="0" fontId="14" fillId="0" borderId="3" xfId="0" applyFont="1" applyBorder="1"/>
    <xf numFmtId="0" fontId="15" fillId="0" borderId="0" xfId="0" applyFont="1"/>
    <xf numFmtId="0" fontId="16" fillId="0" borderId="0" xfId="0" applyFont="1"/>
    <xf numFmtId="0" fontId="13" fillId="0" borderId="0" xfId="0" applyFont="1"/>
    <xf numFmtId="0" fontId="12" fillId="0" borderId="4" xfId="0" applyFont="1" applyBorder="1"/>
    <xf numFmtId="0" fontId="12" fillId="0" borderId="8" xfId="0" applyFont="1" applyBorder="1"/>
    <xf numFmtId="0" fontId="12" fillId="3" borderId="3" xfId="0" applyFont="1" applyFill="1" applyBorder="1" applyAlignment="1">
      <alignment horizontal="center"/>
    </xf>
    <xf numFmtId="0" fontId="13" fillId="0" borderId="8" xfId="0" applyFont="1" applyBorder="1"/>
    <xf numFmtId="0" fontId="13" fillId="0" borderId="5" xfId="0" applyFont="1" applyBorder="1"/>
    <xf numFmtId="0" fontId="14" fillId="3" borderId="3" xfId="0" applyFont="1" applyFill="1" applyBorder="1"/>
    <xf numFmtId="0" fontId="12" fillId="3" borderId="4" xfId="0" applyFont="1" applyFill="1" applyBorder="1" applyAlignment="1">
      <alignment horizontal="center"/>
    </xf>
    <xf numFmtId="0" fontId="13" fillId="0" borderId="4" xfId="0" applyFont="1" applyBorder="1"/>
    <xf numFmtId="0" fontId="13" fillId="3" borderId="4" xfId="0" applyFont="1" applyFill="1" applyBorder="1"/>
    <xf numFmtId="0" fontId="12" fillId="0" borderId="5" xfId="0" applyFont="1" applyBorder="1"/>
    <xf numFmtId="0" fontId="34" fillId="4" borderId="0" xfId="5" applyFont="1" applyFill="1"/>
    <xf numFmtId="0" fontId="20" fillId="4" borderId="0" xfId="5" applyFont="1" applyFill="1" applyAlignment="1">
      <alignment horizontal="left"/>
    </xf>
    <xf numFmtId="0" fontId="13" fillId="4" borderId="0" xfId="5" applyFont="1" applyFill="1"/>
    <xf numFmtId="9" fontId="12" fillId="4" borderId="13" xfId="5" applyNumberFormat="1" applyFont="1" applyFill="1" applyBorder="1"/>
    <xf numFmtId="0" fontId="12" fillId="4" borderId="3" xfId="5" applyFont="1" applyFill="1" applyBorder="1" applyAlignment="1">
      <alignment horizontal="center"/>
    </xf>
    <xf numFmtId="44" fontId="13" fillId="4" borderId="3" xfId="6" applyFont="1" applyFill="1" applyBorder="1"/>
    <xf numFmtId="9" fontId="13" fillId="4" borderId="3" xfId="7" applyFont="1" applyFill="1" applyBorder="1" applyAlignment="1">
      <alignment horizontal="center"/>
    </xf>
    <xf numFmtId="44" fontId="12" fillId="4" borderId="3" xfId="5" applyNumberFormat="1" applyFont="1" applyFill="1" applyBorder="1" applyAlignment="1">
      <alignment horizontal="center"/>
    </xf>
    <xf numFmtId="0" fontId="13" fillId="4" borderId="0" xfId="5" applyFont="1" applyFill="1" applyAlignment="1">
      <alignment horizontal="center"/>
    </xf>
    <xf numFmtId="0" fontId="12" fillId="4" borderId="0" xfId="5" applyFont="1" applyFill="1"/>
    <xf numFmtId="44" fontId="13" fillId="4" borderId="16" xfId="5" applyNumberFormat="1" applyFont="1" applyFill="1" applyBorder="1" applyAlignment="1">
      <alignment horizontal="center"/>
    </xf>
    <xf numFmtId="9" fontId="13" fillId="4" borderId="17" xfId="5" applyNumberFormat="1" applyFont="1" applyFill="1" applyBorder="1" applyAlignment="1">
      <alignment horizontal="center"/>
    </xf>
    <xf numFmtId="2" fontId="13" fillId="4" borderId="17" xfId="5" applyNumberFormat="1" applyFont="1" applyFill="1" applyBorder="1" applyAlignment="1">
      <alignment horizontal="center"/>
    </xf>
    <xf numFmtId="0" fontId="32" fillId="0" borderId="0" xfId="5"/>
    <xf numFmtId="0" fontId="35" fillId="0" borderId="0" xfId="5" applyFont="1"/>
    <xf numFmtId="44" fontId="13" fillId="4" borderId="3" xfId="5" applyNumberFormat="1" applyFont="1" applyFill="1" applyBorder="1" applyAlignment="1">
      <alignment horizontal="lef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horizontal="center"/>
    </xf>
    <xf numFmtId="9" fontId="12" fillId="2" borderId="3" xfId="0" applyNumberFormat="1" applyFont="1" applyFill="1" applyBorder="1" applyAlignment="1">
      <alignment horizontal="center"/>
    </xf>
    <xf numFmtId="9" fontId="12" fillId="2" borderId="3" xfId="0" applyNumberFormat="1" applyFont="1" applyFill="1" applyBorder="1"/>
    <xf numFmtId="9" fontId="12" fillId="0" borderId="3" xfId="0" applyNumberFormat="1" applyFont="1" applyBorder="1"/>
    <xf numFmtId="170" fontId="13" fillId="0" borderId="3" xfId="0" applyNumberFormat="1" applyFont="1" applyBorder="1"/>
    <xf numFmtId="170" fontId="13" fillId="2" borderId="3" xfId="0" applyNumberFormat="1" applyFont="1" applyFill="1" applyBorder="1"/>
    <xf numFmtId="170" fontId="12" fillId="0" borderId="3" xfId="0" applyNumberFormat="1" applyFont="1" applyBorder="1" applyAlignment="1">
      <alignment horizontal="right"/>
    </xf>
    <xf numFmtId="170" fontId="12" fillId="2" borderId="3" xfId="0" applyNumberFormat="1" applyFont="1" applyFill="1" applyBorder="1" applyAlignment="1">
      <alignment horizontal="center"/>
    </xf>
    <xf numFmtId="170" fontId="12" fillId="0" borderId="3" xfId="0" applyNumberFormat="1" applyFont="1" applyBorder="1" applyAlignment="1">
      <alignment horizontal="center"/>
    </xf>
    <xf numFmtId="0" fontId="13" fillId="0" borderId="12" xfId="0" applyFont="1" applyBorder="1"/>
    <xf numFmtId="0" fontId="12" fillId="0" borderId="18" xfId="0" applyFont="1" applyBorder="1"/>
    <xf numFmtId="43" fontId="12" fillId="0" borderId="9" xfId="1" applyFont="1" applyBorder="1"/>
    <xf numFmtId="8" fontId="12" fillId="0" borderId="5" xfId="0" applyNumberFormat="1" applyFont="1" applyBorder="1"/>
    <xf numFmtId="0" fontId="13" fillId="0" borderId="20" xfId="0" applyFont="1" applyBorder="1"/>
    <xf numFmtId="43" fontId="12" fillId="0" borderId="21" xfId="1" applyFont="1" applyBorder="1"/>
    <xf numFmtId="0" fontId="13" fillId="0" borderId="10" xfId="0" applyFont="1" applyBorder="1"/>
    <xf numFmtId="43" fontId="24" fillId="0" borderId="3" xfId="0" applyNumberFormat="1" applyFont="1" applyBorder="1"/>
    <xf numFmtId="4" fontId="13" fillId="0" borderId="14" xfId="0" applyNumberFormat="1" applyFont="1" applyBorder="1"/>
    <xf numFmtId="168" fontId="0" fillId="0" borderId="0" xfId="0" applyNumberFormat="1"/>
    <xf numFmtId="0" fontId="0" fillId="0" borderId="0" xfId="0" applyAlignment="1">
      <alignment horizontal="center"/>
    </xf>
    <xf numFmtId="3" fontId="12" fillId="0" borderId="3" xfId="0" applyNumberFormat="1" applyFont="1" applyBorder="1"/>
    <xf numFmtId="3" fontId="12" fillId="2" borderId="3" xfId="0" applyNumberFormat="1" applyFont="1" applyFill="1" applyBorder="1"/>
    <xf numFmtId="0" fontId="13" fillId="0" borderId="18" xfId="0" applyFont="1" applyBorder="1"/>
    <xf numFmtId="3" fontId="13" fillId="2" borderId="3" xfId="0" applyNumberFormat="1" applyFont="1" applyFill="1" applyBorder="1"/>
    <xf numFmtId="3" fontId="25" fillId="2" borderId="3" xfId="0" applyNumberFormat="1" applyFont="1" applyFill="1" applyBorder="1"/>
    <xf numFmtId="43" fontId="24" fillId="2" borderId="3" xfId="1" applyFont="1" applyFill="1" applyBorder="1"/>
    <xf numFmtId="3" fontId="12" fillId="2" borderId="3" xfId="0" applyNumberFormat="1" applyFont="1" applyFill="1" applyBorder="1" applyAlignment="1">
      <alignment horizontal="center"/>
    </xf>
    <xf numFmtId="4" fontId="13" fillId="0" borderId="0" xfId="0" applyNumberFormat="1" applyFont="1"/>
    <xf numFmtId="43" fontId="24" fillId="0" borderId="0" xfId="1" applyFont="1" applyFill="1" applyBorder="1"/>
    <xf numFmtId="0" fontId="13" fillId="0" borderId="3" xfId="0" applyFont="1" applyBorder="1" applyAlignment="1">
      <alignment horizontal="center"/>
    </xf>
    <xf numFmtId="0" fontId="24" fillId="0" borderId="3" xfId="0" applyFont="1" applyBorder="1"/>
    <xf numFmtId="0" fontId="13" fillId="0" borderId="7" xfId="0" applyFont="1" applyBorder="1"/>
    <xf numFmtId="0" fontId="24" fillId="0" borderId="0" xfId="0" applyFont="1"/>
    <xf numFmtId="0" fontId="24" fillId="0" borderId="3" xfId="0" applyFont="1" applyBorder="1" applyAlignment="1">
      <alignment horizontal="center"/>
    </xf>
    <xf numFmtId="0" fontId="13" fillId="0" borderId="25" xfId="0" applyFont="1" applyBorder="1"/>
    <xf numFmtId="43" fontId="25" fillId="0" borderId="3" xfId="1" applyFont="1" applyBorder="1" applyAlignment="1">
      <alignment horizontal="center"/>
    </xf>
    <xf numFmtId="0" fontId="25" fillId="0" borderId="0" xfId="0" applyFont="1"/>
    <xf numFmtId="0" fontId="13" fillId="0" borderId="15" xfId="0" applyFont="1" applyBorder="1"/>
    <xf numFmtId="44" fontId="13" fillId="0" borderId="3" xfId="2" applyFont="1" applyBorder="1" applyAlignment="1">
      <alignment horizontal="center"/>
    </xf>
    <xf numFmtId="0" fontId="12" fillId="0" borderId="15" xfId="0" applyFont="1" applyBorder="1"/>
    <xf numFmtId="44" fontId="12" fillId="0" borderId="3" xfId="2" applyFont="1" applyBorder="1" applyAlignment="1">
      <alignment horizontal="center"/>
    </xf>
    <xf numFmtId="0" fontId="13" fillId="0" borderId="0" xfId="0" applyFont="1" applyAlignment="1">
      <alignment horizontal="center"/>
    </xf>
    <xf numFmtId="44" fontId="13" fillId="0" borderId="0" xfId="2" applyFont="1" applyBorder="1" applyAlignment="1">
      <alignment horizontal="center"/>
    </xf>
    <xf numFmtId="0" fontId="13" fillId="0" borderId="7" xfId="0" applyFont="1" applyBorder="1" applyAlignment="1">
      <alignment horizontal="center" vertical="top" wrapText="1"/>
    </xf>
    <xf numFmtId="0" fontId="13" fillId="7" borderId="3" xfId="0" applyFont="1" applyFill="1" applyBorder="1"/>
    <xf numFmtId="0" fontId="26" fillId="0" borderId="0" xfId="0" applyFont="1"/>
    <xf numFmtId="0" fontId="27" fillId="0" borderId="0" xfId="0" applyFont="1"/>
    <xf numFmtId="4" fontId="27" fillId="0" borderId="0" xfId="0" applyNumberFormat="1" applyFont="1" applyAlignment="1">
      <alignment horizontal="center"/>
    </xf>
    <xf numFmtId="0" fontId="12" fillId="7" borderId="3" xfId="0" applyFont="1" applyFill="1" applyBorder="1" applyAlignment="1">
      <alignment horizontal="center"/>
    </xf>
    <xf numFmtId="0" fontId="12" fillId="0" borderId="9" xfId="0" applyFont="1" applyBorder="1"/>
    <xf numFmtId="166" fontId="13" fillId="0" borderId="15" xfId="0" applyNumberFormat="1" applyFont="1" applyBorder="1"/>
    <xf numFmtId="165" fontId="13" fillId="0" borderId="0" xfId="0" applyNumberFormat="1" applyFont="1" applyAlignment="1">
      <alignment horizontal="center"/>
    </xf>
    <xf numFmtId="3" fontId="13" fillId="0" borderId="7" xfId="0" applyNumberFormat="1" applyFont="1" applyBorder="1" applyAlignment="1">
      <alignment horizontal="center"/>
    </xf>
    <xf numFmtId="4" fontId="13" fillId="0" borderId="15" xfId="0" applyNumberFormat="1" applyFont="1" applyBorder="1" applyAlignment="1">
      <alignment horizontal="center"/>
    </xf>
    <xf numFmtId="0" fontId="12" fillId="0" borderId="12" xfId="0" applyFont="1" applyBorder="1"/>
    <xf numFmtId="4" fontId="12" fillId="0" borderId="15" xfId="0" applyNumberFormat="1" applyFont="1" applyBorder="1"/>
    <xf numFmtId="164" fontId="13" fillId="0" borderId="0" xfId="2" applyNumberFormat="1" applyFont="1" applyBorder="1"/>
    <xf numFmtId="4" fontId="26" fillId="0" borderId="0" xfId="0" applyNumberFormat="1" applyFont="1"/>
    <xf numFmtId="164" fontId="26" fillId="0" borderId="0" xfId="2" applyNumberFormat="1" applyFont="1" applyBorder="1"/>
    <xf numFmtId="0" fontId="28" fillId="0" borderId="0" xfId="0" applyFont="1"/>
    <xf numFmtId="0" fontId="24" fillId="6" borderId="3" xfId="0" applyFont="1" applyFill="1" applyBorder="1"/>
    <xf numFmtId="0" fontId="24" fillId="6" borderId="3" xfId="0" applyFont="1" applyFill="1" applyBorder="1" applyAlignment="1">
      <alignment horizontal="center"/>
    </xf>
    <xf numFmtId="43" fontId="25" fillId="0" borderId="3" xfId="1" applyFont="1" applyBorder="1"/>
    <xf numFmtId="43" fontId="24" fillId="0" borderId="3" xfId="1" applyFont="1" applyBorder="1" applyAlignment="1">
      <alignment horizontal="center"/>
    </xf>
    <xf numFmtId="43" fontId="24" fillId="0" borderId="3" xfId="1" applyFont="1" applyBorder="1"/>
    <xf numFmtId="0" fontId="17" fillId="0" borderId="0" xfId="0" applyFont="1"/>
    <xf numFmtId="43" fontId="12" fillId="0" borderId="15" xfId="1" applyFont="1" applyBorder="1" applyAlignment="1"/>
    <xf numFmtId="4" fontId="12" fillId="0" borderId="14" xfId="0" applyNumberFormat="1" applyFont="1" applyBorder="1"/>
    <xf numFmtId="4" fontId="0" fillId="0" borderId="0" xfId="0" applyNumberFormat="1"/>
    <xf numFmtId="171" fontId="0" fillId="0" borderId="0" xfId="0" applyNumberFormat="1"/>
    <xf numFmtId="164" fontId="0" fillId="0" borderId="0" xfId="0" applyNumberFormat="1"/>
    <xf numFmtId="164" fontId="26" fillId="0" borderId="0" xfId="0" applyNumberFormat="1" applyFont="1"/>
    <xf numFmtId="0" fontId="29" fillId="0" borderId="0" xfId="0" applyFont="1"/>
    <xf numFmtId="4" fontId="13" fillId="0" borderId="0" xfId="0" applyNumberFormat="1" applyFont="1" applyAlignment="1">
      <alignment horizontal="center"/>
    </xf>
    <xf numFmtId="9" fontId="12" fillId="0" borderId="0" xfId="3" applyFont="1"/>
    <xf numFmtId="44" fontId="13" fillId="0" borderId="3" xfId="0" applyNumberFormat="1" applyFont="1" applyBorder="1"/>
    <xf numFmtId="44" fontId="0" fillId="0" borderId="0" xfId="0" applyNumberFormat="1"/>
    <xf numFmtId="44" fontId="13" fillId="0" borderId="3" xfId="2" applyFont="1" applyBorder="1"/>
    <xf numFmtId="0" fontId="13" fillId="7" borderId="28" xfId="0" applyFont="1" applyFill="1" applyBorder="1"/>
    <xf numFmtId="9" fontId="12" fillId="7" borderId="11" xfId="3" applyFont="1" applyFill="1" applyBorder="1" applyAlignment="1">
      <alignment horizontal="center"/>
    </xf>
    <xf numFmtId="0" fontId="13" fillId="7" borderId="11" xfId="0" applyFont="1" applyFill="1" applyBorder="1"/>
    <xf numFmtId="0" fontId="35" fillId="0" borderId="0" xfId="0" applyFont="1"/>
    <xf numFmtId="0" fontId="13" fillId="7" borderId="29" xfId="0" applyFont="1" applyFill="1" applyBorder="1"/>
    <xf numFmtId="9" fontId="12" fillId="7" borderId="3" xfId="3" applyFont="1" applyFill="1" applyBorder="1" applyAlignment="1">
      <alignment horizontal="center"/>
    </xf>
    <xf numFmtId="0" fontId="13" fillId="7" borderId="30" xfId="0" applyFont="1" applyFill="1" applyBorder="1"/>
    <xf numFmtId="0" fontId="13" fillId="7" borderId="6" xfId="0" applyFont="1" applyFill="1" applyBorder="1"/>
    <xf numFmtId="3" fontId="0" fillId="0" borderId="0" xfId="0" applyNumberFormat="1"/>
    <xf numFmtId="0" fontId="13" fillId="0" borderId="21" xfId="0" applyFont="1" applyBorder="1"/>
    <xf numFmtId="0" fontId="12" fillId="0" borderId="3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173" fontId="0" fillId="0" borderId="0" xfId="0" applyNumberFormat="1"/>
    <xf numFmtId="173" fontId="13" fillId="0" borderId="0" xfId="0" applyNumberFormat="1" applyFont="1"/>
    <xf numFmtId="0" fontId="13" fillId="0" borderId="21" xfId="0" applyFont="1" applyBorder="1" applyAlignment="1">
      <alignment horizontal="center"/>
    </xf>
    <xf numFmtId="0" fontId="12" fillId="0" borderId="15" xfId="0" applyFont="1" applyBorder="1" applyAlignment="1">
      <alignment wrapText="1"/>
    </xf>
    <xf numFmtId="173" fontId="23" fillId="8" borderId="0" xfId="0" applyNumberFormat="1" applyFont="1" applyFill="1"/>
    <xf numFmtId="173" fontId="12" fillId="7" borderId="3" xfId="0" applyNumberFormat="1" applyFont="1" applyFill="1" applyBorder="1" applyAlignment="1">
      <alignment horizontal="center"/>
    </xf>
    <xf numFmtId="173" fontId="13" fillId="0" borderId="15" xfId="0" applyNumberFormat="1" applyFont="1" applyBorder="1" applyAlignment="1">
      <alignment horizontal="center"/>
    </xf>
    <xf numFmtId="173" fontId="13" fillId="0" borderId="15" xfId="0" applyNumberFormat="1" applyFont="1" applyBorder="1"/>
    <xf numFmtId="173" fontId="13" fillId="0" borderId="27" xfId="0" applyNumberFormat="1" applyFont="1" applyBorder="1"/>
    <xf numFmtId="173" fontId="13" fillId="0" borderId="14" xfId="0" applyNumberFormat="1" applyFont="1" applyBorder="1"/>
    <xf numFmtId="173" fontId="13" fillId="0" borderId="26" xfId="0" applyNumberFormat="1" applyFont="1" applyBorder="1"/>
    <xf numFmtId="173" fontId="12" fillId="0" borderId="15" xfId="0" applyNumberFormat="1" applyFont="1" applyBorder="1"/>
    <xf numFmtId="173" fontId="23" fillId="9" borderId="0" xfId="0" applyNumberFormat="1" applyFont="1" applyFill="1"/>
    <xf numFmtId="0" fontId="12" fillId="4" borderId="0" xfId="0" applyFont="1" applyFill="1"/>
    <xf numFmtId="3" fontId="13" fillId="0" borderId="0" xfId="0" applyNumberFormat="1" applyFont="1" applyAlignment="1">
      <alignment horizontal="center"/>
    </xf>
    <xf numFmtId="0" fontId="12" fillId="0" borderId="21" xfId="0" applyFont="1" applyBorder="1"/>
    <xf numFmtId="9" fontId="13" fillId="0" borderId="21" xfId="0" applyNumberFormat="1" applyFont="1" applyBorder="1"/>
    <xf numFmtId="0" fontId="0" fillId="0" borderId="21" xfId="0" applyBorder="1"/>
    <xf numFmtId="0" fontId="13" fillId="0" borderId="0" xfId="0" applyFont="1" applyAlignment="1">
      <alignment wrapText="1"/>
    </xf>
    <xf numFmtId="0" fontId="13" fillId="0" borderId="21" xfId="0" applyFont="1" applyBorder="1" applyAlignment="1">
      <alignment horizontal="center" vertical="center" wrapText="1"/>
    </xf>
    <xf numFmtId="0" fontId="13" fillId="0" borderId="21" xfId="0" applyFont="1" applyBorder="1" applyAlignment="1">
      <alignment vertical="center"/>
    </xf>
    <xf numFmtId="0" fontId="13" fillId="0" borderId="21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173" fontId="13" fillId="0" borderId="3" xfId="0" applyNumberFormat="1" applyFont="1" applyBorder="1"/>
    <xf numFmtId="44" fontId="13" fillId="0" borderId="21" xfId="2" applyFont="1" applyBorder="1" applyAlignment="1">
      <alignment horizontal="center"/>
    </xf>
    <xf numFmtId="44" fontId="25" fillId="0" borderId="3" xfId="1" applyNumberFormat="1" applyFont="1" applyBorder="1"/>
    <xf numFmtId="44" fontId="13" fillId="0" borderId="21" xfId="2" applyFont="1" applyBorder="1"/>
    <xf numFmtId="44" fontId="13" fillId="0" borderId="15" xfId="2" applyFont="1" applyBorder="1" applyAlignment="1">
      <alignment horizontal="center"/>
    </xf>
    <xf numFmtId="44" fontId="13" fillId="0" borderId="27" xfId="2" applyFont="1" applyBorder="1" applyAlignment="1">
      <alignment horizontal="center"/>
    </xf>
    <xf numFmtId="44" fontId="0" fillId="0" borderId="0" xfId="2" applyFont="1"/>
    <xf numFmtId="44" fontId="13" fillId="0" borderId="14" xfId="2" applyFont="1" applyBorder="1"/>
    <xf numFmtId="44" fontId="25" fillId="2" borderId="3" xfId="2" applyFont="1" applyFill="1" applyBorder="1"/>
    <xf numFmtId="44" fontId="24" fillId="2" borderId="3" xfId="2" applyFont="1" applyFill="1" applyBorder="1"/>
    <xf numFmtId="44" fontId="13" fillId="0" borderId="27" xfId="2" applyFont="1" applyFill="1" applyBorder="1"/>
    <xf numFmtId="174" fontId="0" fillId="0" borderId="0" xfId="0" applyNumberFormat="1"/>
    <xf numFmtId="44" fontId="13" fillId="0" borderId="0" xfId="2" applyFont="1"/>
    <xf numFmtId="174" fontId="13" fillId="0" borderId="0" xfId="0" applyNumberFormat="1" applyFont="1"/>
    <xf numFmtId="43" fontId="13" fillId="0" borderId="15" xfId="0" applyNumberFormat="1" applyFont="1" applyBorder="1" applyAlignment="1">
      <alignment horizontal="center"/>
    </xf>
    <xf numFmtId="44" fontId="12" fillId="0" borderId="12" xfId="2" applyFont="1" applyBorder="1"/>
    <xf numFmtId="44" fontId="12" fillId="0" borderId="8" xfId="2" applyFont="1" applyBorder="1"/>
    <xf numFmtId="44" fontId="13" fillId="0" borderId="26" xfId="2" applyFont="1" applyBorder="1"/>
    <xf numFmtId="44" fontId="12" fillId="8" borderId="18" xfId="2" applyFont="1" applyFill="1" applyBorder="1"/>
    <xf numFmtId="44" fontId="12" fillId="8" borderId="9" xfId="2" applyFont="1" applyFill="1" applyBorder="1"/>
    <xf numFmtId="44" fontId="12" fillId="8" borderId="15" xfId="2" applyFont="1" applyFill="1" applyBorder="1"/>
    <xf numFmtId="44" fontId="0" fillId="8" borderId="0" xfId="2" applyFont="1" applyFill="1"/>
    <xf numFmtId="0" fontId="12" fillId="8" borderId="18" xfId="0" applyFont="1" applyFill="1" applyBorder="1"/>
    <xf numFmtId="0" fontId="12" fillId="8" borderId="9" xfId="0" applyFont="1" applyFill="1" applyBorder="1"/>
    <xf numFmtId="173" fontId="12" fillId="8" borderId="15" xfId="0" applyNumberFormat="1" applyFont="1" applyFill="1" applyBorder="1"/>
    <xf numFmtId="173" fontId="12" fillId="8" borderId="15" xfId="2" applyNumberFormat="1" applyFont="1" applyFill="1" applyBorder="1"/>
    <xf numFmtId="4" fontId="0" fillId="8" borderId="0" xfId="0" applyNumberFormat="1" applyFill="1"/>
    <xf numFmtId="0" fontId="0" fillId="8" borderId="0" xfId="0" applyFill="1"/>
    <xf numFmtId="172" fontId="0" fillId="8" borderId="0" xfId="0" applyNumberFormat="1" applyFill="1" applyAlignment="1">
      <alignment wrapText="1"/>
    </xf>
    <xf numFmtId="4" fontId="23" fillId="10" borderId="0" xfId="0" applyNumberFormat="1" applyFont="1" applyFill="1"/>
    <xf numFmtId="44" fontId="23" fillId="10" borderId="0" xfId="2" applyFont="1" applyFill="1"/>
    <xf numFmtId="0" fontId="37" fillId="0" borderId="41" xfId="0" applyFont="1" applyBorder="1"/>
    <xf numFmtId="0" fontId="37" fillId="0" borderId="42" xfId="0" applyFont="1" applyBorder="1"/>
    <xf numFmtId="170" fontId="13" fillId="5" borderId="3" xfId="0" applyNumberFormat="1" applyFont="1" applyFill="1" applyBorder="1"/>
    <xf numFmtId="44" fontId="12" fillId="0" borderId="0" xfId="2" applyFont="1"/>
    <xf numFmtId="0" fontId="9" fillId="0" borderId="0" xfId="9"/>
    <xf numFmtId="0" fontId="18" fillId="0" borderId="3" xfId="9" applyFont="1" applyBorder="1"/>
    <xf numFmtId="9" fontId="38" fillId="0" borderId="3" xfId="9" applyNumberFormat="1" applyFont="1" applyBorder="1" applyAlignment="1">
      <alignment horizontal="center"/>
    </xf>
    <xf numFmtId="2" fontId="38" fillId="0" borderId="3" xfId="9" applyNumberFormat="1" applyFont="1" applyBorder="1" applyAlignment="1">
      <alignment horizontal="center"/>
    </xf>
    <xf numFmtId="0" fontId="18" fillId="0" borderId="0" xfId="9" applyFont="1"/>
    <xf numFmtId="9" fontId="18" fillId="0" borderId="0" xfId="9" applyNumberFormat="1" applyFont="1"/>
    <xf numFmtId="0" fontId="9" fillId="0" borderId="43" xfId="9" applyBorder="1"/>
    <xf numFmtId="0" fontId="9" fillId="0" borderId="14" xfId="9" applyBorder="1"/>
    <xf numFmtId="0" fontId="9" fillId="0" borderId="3" xfId="9" applyBorder="1"/>
    <xf numFmtId="4" fontId="9" fillId="0" borderId="3" xfId="9" applyNumberFormat="1" applyBorder="1"/>
    <xf numFmtId="4" fontId="9" fillId="0" borderId="3" xfId="9" applyNumberFormat="1" applyBorder="1" applyAlignment="1">
      <alignment horizontal="right"/>
    </xf>
    <xf numFmtId="10" fontId="9" fillId="0" borderId="3" xfId="9" applyNumberFormat="1" applyBorder="1"/>
    <xf numFmtId="10" fontId="0" fillId="0" borderId="3" xfId="10" applyNumberFormat="1" applyFont="1" applyBorder="1"/>
    <xf numFmtId="0" fontId="39" fillId="0" borderId="0" xfId="9" applyFont="1"/>
    <xf numFmtId="0" fontId="34" fillId="0" borderId="10" xfId="0" applyFont="1" applyBorder="1" applyAlignment="1">
      <alignment horizontal="left"/>
    </xf>
    <xf numFmtId="0" fontId="34" fillId="0" borderId="10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4" fillId="4" borderId="3" xfId="0" applyFont="1" applyFill="1" applyBorder="1" applyAlignment="1">
      <alignment horizontal="center"/>
    </xf>
    <xf numFmtId="0" fontId="34" fillId="0" borderId="18" xfId="0" applyFont="1" applyBorder="1"/>
    <xf numFmtId="0" fontId="40" fillId="0" borderId="15" xfId="0" applyFont="1" applyBorder="1"/>
    <xf numFmtId="0" fontId="34" fillId="0" borderId="3" xfId="0" applyFont="1" applyBorder="1"/>
    <xf numFmtId="44" fontId="34" fillId="0" borderId="3" xfId="2" applyFont="1" applyFill="1" applyBorder="1" applyAlignment="1">
      <alignment horizontal="center"/>
    </xf>
    <xf numFmtId="0" fontId="40" fillId="0" borderId="3" xfId="0" applyFont="1" applyBorder="1" applyAlignment="1">
      <alignment horizontal="center"/>
    </xf>
    <xf numFmtId="44" fontId="34" fillId="0" borderId="3" xfId="0" applyNumberFormat="1" applyFont="1" applyBorder="1" applyAlignment="1">
      <alignment horizontal="center"/>
    </xf>
    <xf numFmtId="3" fontId="40" fillId="0" borderId="3" xfId="0" applyNumberFormat="1" applyFont="1" applyBorder="1" applyAlignment="1">
      <alignment horizontal="center"/>
    </xf>
    <xf numFmtId="44" fontId="34" fillId="0" borderId="3" xfId="2" applyFont="1" applyBorder="1" applyAlignment="1">
      <alignment horizontal="center"/>
    </xf>
    <xf numFmtId="44" fontId="40" fillId="0" borderId="3" xfId="2" applyFont="1" applyBorder="1" applyAlignment="1">
      <alignment horizontal="center"/>
    </xf>
    <xf numFmtId="3" fontId="40" fillId="4" borderId="3" xfId="0" applyNumberFormat="1" applyFont="1" applyFill="1" applyBorder="1" applyAlignment="1">
      <alignment horizontal="center"/>
    </xf>
    <xf numFmtId="44" fontId="34" fillId="4" borderId="3" xfId="2" applyFont="1" applyFill="1" applyBorder="1" applyAlignment="1">
      <alignment horizontal="center"/>
    </xf>
    <xf numFmtId="3" fontId="34" fillId="0" borderId="3" xfId="0" applyNumberFormat="1" applyFont="1" applyBorder="1" applyAlignment="1">
      <alignment horizontal="center"/>
    </xf>
    <xf numFmtId="0" fontId="34" fillId="0" borderId="3" xfId="0" applyFont="1" applyBorder="1" applyAlignment="1">
      <alignment horizontal="left"/>
    </xf>
    <xf numFmtId="0" fontId="34" fillId="0" borderId="15" xfId="0" applyFont="1" applyBorder="1"/>
    <xf numFmtId="0" fontId="34" fillId="0" borderId="4" xfId="0" applyFont="1" applyBorder="1"/>
    <xf numFmtId="0" fontId="41" fillId="0" borderId="18" xfId="0" applyFont="1" applyBorder="1"/>
    <xf numFmtId="0" fontId="41" fillId="0" borderId="12" xfId="0" applyFont="1" applyBorder="1" applyAlignment="1">
      <alignment horizontal="left"/>
    </xf>
    <xf numFmtId="43" fontId="13" fillId="0" borderId="27" xfId="0" applyNumberFormat="1" applyFont="1" applyBorder="1"/>
    <xf numFmtId="44" fontId="12" fillId="0" borderId="14" xfId="2" applyFont="1" applyBorder="1"/>
    <xf numFmtId="44" fontId="13" fillId="0" borderId="15" xfId="2" applyFont="1" applyBorder="1"/>
    <xf numFmtId="44" fontId="28" fillId="0" borderId="0" xfId="0" applyNumberFormat="1" applyFont="1"/>
    <xf numFmtId="2" fontId="35" fillId="0" borderId="0" xfId="5" applyNumberFormat="1" applyFont="1"/>
    <xf numFmtId="16" fontId="13" fillId="4" borderId="0" xfId="5" applyNumberFormat="1" applyFont="1" applyFill="1"/>
    <xf numFmtId="2" fontId="13" fillId="0" borderId="0" xfId="0" applyNumberFormat="1" applyFont="1"/>
    <xf numFmtId="2" fontId="12" fillId="0" borderId="0" xfId="0" applyNumberFormat="1" applyFont="1"/>
    <xf numFmtId="44" fontId="13" fillId="0" borderId="0" xfId="0" applyNumberFormat="1" applyFont="1"/>
    <xf numFmtId="0" fontId="13" fillId="0" borderId="0" xfId="2" applyNumberFormat="1" applyFont="1"/>
    <xf numFmtId="2" fontId="0" fillId="0" borderId="0" xfId="0" applyNumberFormat="1"/>
    <xf numFmtId="4" fontId="0" fillId="0" borderId="21" xfId="0" applyNumberFormat="1" applyBorder="1"/>
    <xf numFmtId="4" fontId="0" fillId="0" borderId="26" xfId="0" applyNumberFormat="1" applyBorder="1"/>
    <xf numFmtId="4" fontId="13" fillId="0" borderId="3" xfId="2" applyNumberFormat="1" applyFont="1" applyBorder="1"/>
    <xf numFmtId="4" fontId="13" fillId="0" borderId="3" xfId="0" applyNumberFormat="1" applyFont="1" applyBorder="1"/>
    <xf numFmtId="0" fontId="25" fillId="0" borderId="3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2" fillId="0" borderId="3" xfId="0" applyFont="1" applyBorder="1"/>
    <xf numFmtId="0" fontId="25" fillId="0" borderId="3" xfId="0" applyFont="1" applyBorder="1"/>
    <xf numFmtId="9" fontId="25" fillId="0" borderId="3" xfId="0" applyNumberFormat="1" applyFont="1" applyBorder="1" applyAlignment="1">
      <alignment horizontal="center"/>
    </xf>
    <xf numFmtId="9" fontId="25" fillId="0" borderId="3" xfId="3" applyFont="1" applyBorder="1" applyAlignment="1">
      <alignment horizontal="center"/>
    </xf>
    <xf numFmtId="2" fontId="25" fillId="0" borderId="3" xfId="0" applyNumberFormat="1" applyFont="1" applyBorder="1" applyAlignment="1">
      <alignment horizontal="center"/>
    </xf>
    <xf numFmtId="0" fontId="0" fillId="0" borderId="4" xfId="0" applyBorder="1"/>
    <xf numFmtId="4" fontId="0" fillId="0" borderId="3" xfId="0" applyNumberFormat="1" applyBorder="1"/>
    <xf numFmtId="176" fontId="25" fillId="0" borderId="3" xfId="0" applyNumberFormat="1" applyFont="1" applyBorder="1" applyAlignment="1">
      <alignment horizontal="center"/>
    </xf>
    <xf numFmtId="44" fontId="36" fillId="0" borderId="15" xfId="2" applyFont="1" applyBorder="1"/>
    <xf numFmtId="44" fontId="18" fillId="0" borderId="3" xfId="2" applyFont="1" applyBorder="1"/>
    <xf numFmtId="44" fontId="38" fillId="0" borderId="3" xfId="2" applyFont="1" applyBorder="1"/>
    <xf numFmtId="9" fontId="18" fillId="0" borderId="3" xfId="3" applyFont="1" applyBorder="1"/>
    <xf numFmtId="9" fontId="38" fillId="0" borderId="3" xfId="3" applyFont="1" applyBorder="1"/>
    <xf numFmtId="0" fontId="7" fillId="0" borderId="0" xfId="13"/>
    <xf numFmtId="0" fontId="43" fillId="0" borderId="43" xfId="13" applyFont="1" applyBorder="1"/>
    <xf numFmtId="0" fontId="43" fillId="0" borderId="43" xfId="13" applyFont="1" applyBorder="1" applyAlignment="1">
      <alignment wrapText="1"/>
    </xf>
    <xf numFmtId="0" fontId="43" fillId="0" borderId="0" xfId="13" applyFont="1" applyAlignment="1">
      <alignment horizontal="center"/>
    </xf>
    <xf numFmtId="0" fontId="43" fillId="0" borderId="44" xfId="13" applyFont="1" applyBorder="1"/>
    <xf numFmtId="0" fontId="43" fillId="0" borderId="0" xfId="13" applyFont="1"/>
    <xf numFmtId="0" fontId="44" fillId="0" borderId="43" xfId="13" applyFont="1" applyBorder="1"/>
    <xf numFmtId="44" fontId="43" fillId="0" borderId="43" xfId="2" applyFont="1" applyBorder="1"/>
    <xf numFmtId="44" fontId="43" fillId="0" borderId="45" xfId="2" applyFont="1" applyBorder="1"/>
    <xf numFmtId="44" fontId="43" fillId="0" borderId="45" xfId="2" applyFont="1" applyBorder="1" applyAlignment="1">
      <alignment vertical="center"/>
    </xf>
    <xf numFmtId="44" fontId="43" fillId="0" borderId="0" xfId="2" applyFont="1" applyAlignment="1">
      <alignment horizontal="center" vertical="center"/>
    </xf>
    <xf numFmtId="44" fontId="7" fillId="0" borderId="0" xfId="2" applyFont="1"/>
    <xf numFmtId="44" fontId="43" fillId="0" borderId="0" xfId="2" applyFont="1" applyAlignment="1">
      <alignment vertical="center"/>
    </xf>
    <xf numFmtId="44" fontId="43" fillId="0" borderId="44" xfId="2" applyFont="1" applyBorder="1"/>
    <xf numFmtId="44" fontId="43" fillId="0" borderId="0" xfId="2" applyFont="1"/>
    <xf numFmtId="44" fontId="43" fillId="14" borderId="43" xfId="2" applyFont="1" applyFill="1" applyBorder="1"/>
    <xf numFmtId="1" fontId="43" fillId="0" borderId="0" xfId="2" applyNumberFormat="1" applyFont="1"/>
    <xf numFmtId="44" fontId="43" fillId="0" borderId="43" xfId="2" applyFont="1" applyFill="1" applyBorder="1"/>
    <xf numFmtId="43" fontId="0" fillId="0" borderId="0" xfId="0" applyNumberFormat="1"/>
    <xf numFmtId="44" fontId="0" fillId="0" borderId="0" xfId="2" applyFont="1" applyBorder="1"/>
    <xf numFmtId="175" fontId="0" fillId="0" borderId="0" xfId="2" applyNumberFormat="1" applyFont="1" applyBorder="1"/>
    <xf numFmtId="2" fontId="0" fillId="0" borderId="3" xfId="0" applyNumberFormat="1" applyBorder="1" applyAlignment="1">
      <alignment horizontal="center" vertical="center"/>
    </xf>
    <xf numFmtId="44" fontId="47" fillId="0" borderId="43" xfId="2" applyFont="1" applyBorder="1"/>
    <xf numFmtId="44" fontId="47" fillId="0" borderId="43" xfId="2" applyFont="1" applyFill="1" applyBorder="1"/>
    <xf numFmtId="44" fontId="48" fillId="14" borderId="43" xfId="2" applyFont="1" applyFill="1" applyBorder="1"/>
    <xf numFmtId="44" fontId="48" fillId="0" borderId="43" xfId="2" applyFont="1" applyBorder="1"/>
    <xf numFmtId="44" fontId="48" fillId="0" borderId="43" xfId="2" applyFont="1" applyFill="1" applyBorder="1"/>
    <xf numFmtId="44" fontId="5" fillId="0" borderId="3" xfId="2" applyFont="1" applyBorder="1"/>
    <xf numFmtId="44" fontId="5" fillId="0" borderId="3" xfId="2" applyFont="1" applyBorder="1" applyAlignment="1">
      <alignment horizontal="right"/>
    </xf>
    <xf numFmtId="0" fontId="5" fillId="0" borderId="3" xfId="9" applyFont="1" applyBorder="1"/>
    <xf numFmtId="44" fontId="5" fillId="0" borderId="26" xfId="2" applyFont="1" applyFill="1" applyBorder="1"/>
    <xf numFmtId="44" fontId="5" fillId="0" borderId="14" xfId="2" applyFont="1" applyBorder="1"/>
    <xf numFmtId="44" fontId="5" fillId="0" borderId="43" xfId="2" applyFont="1" applyBorder="1"/>
    <xf numFmtId="44" fontId="5" fillId="0" borderId="0" xfId="2" applyFont="1"/>
    <xf numFmtId="0" fontId="5" fillId="0" borderId="0" xfId="18"/>
    <xf numFmtId="14" fontId="23" fillId="0" borderId="0" xfId="18" applyNumberFormat="1" applyFont="1"/>
    <xf numFmtId="170" fontId="5" fillId="0" borderId="0" xfId="18" applyNumberFormat="1"/>
    <xf numFmtId="169" fontId="5" fillId="0" borderId="0" xfId="18" applyNumberFormat="1"/>
    <xf numFmtId="169" fontId="5" fillId="0" borderId="0" xfId="18" applyNumberFormat="1" applyAlignment="1">
      <alignment horizontal="center"/>
    </xf>
    <xf numFmtId="8" fontId="5" fillId="0" borderId="0" xfId="18" applyNumberFormat="1"/>
    <xf numFmtId="10" fontId="5" fillId="0" borderId="0" xfId="18" applyNumberFormat="1"/>
    <xf numFmtId="0" fontId="5" fillId="0" borderId="0" xfId="18" applyAlignment="1">
      <alignment horizontal="center"/>
    </xf>
    <xf numFmtId="170" fontId="5" fillId="0" borderId="14" xfId="18" applyNumberFormat="1" applyBorder="1"/>
    <xf numFmtId="169" fontId="5" fillId="0" borderId="14" xfId="18" applyNumberFormat="1" applyBorder="1"/>
    <xf numFmtId="169" fontId="5" fillId="0" borderId="14" xfId="18" applyNumberFormat="1" applyBorder="1" applyAlignment="1">
      <alignment horizontal="center"/>
    </xf>
    <xf numFmtId="8" fontId="5" fillId="0" borderId="14" xfId="18" applyNumberFormat="1" applyBorder="1"/>
    <xf numFmtId="10" fontId="5" fillId="0" borderId="14" xfId="18" applyNumberFormat="1" applyBorder="1"/>
    <xf numFmtId="8" fontId="5" fillId="0" borderId="3" xfId="18" applyNumberFormat="1" applyBorder="1" applyAlignment="1">
      <alignment horizontal="center"/>
    </xf>
    <xf numFmtId="0" fontId="5" fillId="0" borderId="14" xfId="18" applyBorder="1" applyAlignment="1">
      <alignment horizontal="center"/>
    </xf>
    <xf numFmtId="170" fontId="5" fillId="0" borderId="3" xfId="18" applyNumberFormat="1" applyBorder="1"/>
    <xf numFmtId="169" fontId="5" fillId="0" borderId="3" xfId="18" applyNumberFormat="1" applyBorder="1"/>
    <xf numFmtId="169" fontId="5" fillId="0" borderId="3" xfId="18" applyNumberFormat="1" applyBorder="1" applyAlignment="1">
      <alignment horizontal="center"/>
    </xf>
    <xf numFmtId="8" fontId="5" fillId="0" borderId="3" xfId="18" applyNumberFormat="1" applyBorder="1"/>
    <xf numFmtId="10" fontId="5" fillId="0" borderId="3" xfId="18" applyNumberFormat="1" applyBorder="1"/>
    <xf numFmtId="0" fontId="5" fillId="0" borderId="3" xfId="18" applyBorder="1" applyAlignment="1">
      <alignment horizontal="center"/>
    </xf>
    <xf numFmtId="0" fontId="23" fillId="0" borderId="9" xfId="18" applyFont="1" applyBorder="1"/>
    <xf numFmtId="169" fontId="23" fillId="0" borderId="3" xfId="18" applyNumberFormat="1" applyFont="1" applyBorder="1"/>
    <xf numFmtId="0" fontId="13" fillId="0" borderId="0" xfId="18" applyFont="1"/>
    <xf numFmtId="0" fontId="12" fillId="0" borderId="0" xfId="18" applyFont="1"/>
    <xf numFmtId="0" fontId="12" fillId="0" borderId="0" xfId="18" applyFont="1" applyAlignment="1">
      <alignment horizontal="center"/>
    </xf>
    <xf numFmtId="10" fontId="0" fillId="0" borderId="3" xfId="19" applyNumberFormat="1" applyFont="1" applyBorder="1"/>
    <xf numFmtId="0" fontId="5" fillId="0" borderId="3" xfId="18" applyBorder="1"/>
    <xf numFmtId="170" fontId="5" fillId="0" borderId="0" xfId="18" applyNumberFormat="1" applyAlignment="1">
      <alignment horizontal="center"/>
    </xf>
    <xf numFmtId="0" fontId="11" fillId="0" borderId="0" xfId="18" applyFont="1"/>
    <xf numFmtId="4" fontId="9" fillId="0" borderId="26" xfId="9" applyNumberFormat="1" applyBorder="1"/>
    <xf numFmtId="0" fontId="50" fillId="15" borderId="3" xfId="0" applyFont="1" applyFill="1" applyBorder="1" applyAlignment="1">
      <alignment horizontal="center" vertical="center"/>
    </xf>
    <xf numFmtId="0" fontId="50" fillId="15" borderId="3" xfId="0" applyFont="1" applyFill="1" applyBorder="1" applyAlignment="1">
      <alignment horizontal="left" vertical="center"/>
    </xf>
    <xf numFmtId="0" fontId="0" fillId="0" borderId="3" xfId="0" applyBorder="1"/>
    <xf numFmtId="0" fontId="43" fillId="4" borderId="3" xfId="0" applyFont="1" applyFill="1" applyBorder="1" applyAlignment="1">
      <alignment vertical="center" wrapText="1"/>
    </xf>
    <xf numFmtId="0" fontId="51" fillId="4" borderId="3" xfId="0" applyFont="1" applyFill="1" applyBorder="1" applyAlignment="1">
      <alignment vertical="center" wrapText="1"/>
    </xf>
    <xf numFmtId="0" fontId="51" fillId="17" borderId="3" xfId="0" applyFont="1" applyFill="1" applyBorder="1" applyAlignment="1">
      <alignment vertical="center" wrapText="1"/>
    </xf>
    <xf numFmtId="0" fontId="51" fillId="4" borderId="3" xfId="0" applyFont="1" applyFill="1" applyBorder="1" applyAlignment="1">
      <alignment horizontal="left" vertical="top"/>
    </xf>
    <xf numFmtId="10" fontId="43" fillId="4" borderId="3" xfId="3" applyNumberFormat="1" applyFont="1" applyFill="1" applyBorder="1" applyAlignment="1">
      <alignment horizontal="left" vertical="top" wrapText="1"/>
    </xf>
    <xf numFmtId="0" fontId="51" fillId="4" borderId="3" xfId="0" applyFont="1" applyFill="1" applyBorder="1"/>
    <xf numFmtId="44" fontId="0" fillId="0" borderId="3" xfId="2" applyFont="1" applyBorder="1"/>
    <xf numFmtId="0" fontId="51" fillId="0" borderId="3" xfId="0" applyFont="1" applyBorder="1" applyAlignment="1">
      <alignment vertical="center" wrapText="1"/>
    </xf>
    <xf numFmtId="0" fontId="43" fillId="4" borderId="3" xfId="0" applyFont="1" applyFill="1" applyBorder="1" applyAlignment="1">
      <alignment horizontal="left" vertical="top"/>
    </xf>
    <xf numFmtId="44" fontId="47" fillId="14" borderId="43" xfId="2" applyFont="1" applyFill="1" applyBorder="1"/>
    <xf numFmtId="44" fontId="43" fillId="14" borderId="46" xfId="2" applyFont="1" applyFill="1" applyBorder="1"/>
    <xf numFmtId="44" fontId="48" fillId="14" borderId="46" xfId="2" applyFont="1" applyFill="1" applyBorder="1"/>
    <xf numFmtId="0" fontId="44" fillId="0" borderId="0" xfId="13" applyFont="1" applyAlignment="1">
      <alignment horizontal="center" vertical="center"/>
    </xf>
    <xf numFmtId="44" fontId="43" fillId="0" borderId="0" xfId="2" applyFont="1" applyFill="1" applyBorder="1"/>
    <xf numFmtId="44" fontId="48" fillId="0" borderId="0" xfId="2" applyFont="1" applyFill="1" applyBorder="1"/>
    <xf numFmtId="44" fontId="43" fillId="14" borderId="3" xfId="2" applyFont="1" applyFill="1" applyBorder="1"/>
    <xf numFmtId="44" fontId="48" fillId="14" borderId="3" xfId="2" applyFont="1" applyFill="1" applyBorder="1"/>
    <xf numFmtId="170" fontId="0" fillId="0" borderId="3" xfId="0" applyNumberFormat="1" applyBorder="1"/>
    <xf numFmtId="178" fontId="34" fillId="0" borderId="3" xfId="0" applyNumberFormat="1" applyFont="1" applyBorder="1"/>
    <xf numFmtId="0" fontId="50" fillId="15" borderId="15" xfId="0" applyFont="1" applyFill="1" applyBorder="1" applyAlignment="1">
      <alignment horizontal="center" vertical="center"/>
    </xf>
    <xf numFmtId="44" fontId="0" fillId="0" borderId="21" xfId="0" applyNumberFormat="1" applyBorder="1"/>
    <xf numFmtId="0" fontId="0" fillId="0" borderId="15" xfId="0" applyBorder="1"/>
    <xf numFmtId="178" fontId="0" fillId="0" borderId="21" xfId="0" applyNumberFormat="1" applyBorder="1"/>
    <xf numFmtId="0" fontId="0" fillId="0" borderId="15" xfId="0" applyBorder="1" applyAlignment="1">
      <alignment horizontal="left"/>
    </xf>
    <xf numFmtId="14" fontId="52" fillId="0" borderId="4" xfId="0" applyNumberFormat="1" applyFont="1" applyBorder="1" applyAlignment="1">
      <alignment horizontal="center"/>
    </xf>
    <xf numFmtId="178" fontId="40" fillId="0" borderId="3" xfId="0" applyNumberFormat="1" applyFont="1" applyBorder="1"/>
    <xf numFmtId="170" fontId="23" fillId="0" borderId="0" xfId="0" applyNumberFormat="1" applyFont="1"/>
    <xf numFmtId="44" fontId="0" fillId="0" borderId="21" xfId="2" applyFont="1" applyBorder="1"/>
    <xf numFmtId="0" fontId="54" fillId="0" borderId="3" xfId="0" applyFont="1" applyBorder="1"/>
    <xf numFmtId="44" fontId="34" fillId="0" borderId="3" xfId="2" applyFont="1" applyBorder="1"/>
    <xf numFmtId="178" fontId="0" fillId="0" borderId="0" xfId="0" applyNumberFormat="1"/>
    <xf numFmtId="44" fontId="34" fillId="0" borderId="21" xfId="2" applyFont="1" applyBorder="1"/>
    <xf numFmtId="178" fontId="4" fillId="4" borderId="3" xfId="2" applyNumberFormat="1" applyFont="1" applyFill="1" applyBorder="1" applyAlignment="1">
      <alignment horizontal="center" vertical="top" wrapText="1"/>
    </xf>
    <xf numFmtId="178" fontId="55" fillId="4" borderId="3" xfId="2" applyNumberFormat="1" applyFont="1" applyFill="1" applyBorder="1" applyAlignment="1">
      <alignment horizontal="center" vertical="top" wrapText="1"/>
    </xf>
    <xf numFmtId="44" fontId="4" fillId="4" borderId="3" xfId="2" applyFont="1" applyFill="1" applyBorder="1" applyAlignment="1">
      <alignment vertical="center" wrapText="1"/>
    </xf>
    <xf numFmtId="44" fontId="4" fillId="4" borderId="3" xfId="2" applyFont="1" applyFill="1" applyBorder="1"/>
    <xf numFmtId="6" fontId="4" fillId="4" borderId="3" xfId="2" applyNumberFormat="1" applyFont="1" applyFill="1" applyBorder="1" applyAlignment="1">
      <alignment vertical="center" wrapText="1"/>
    </xf>
    <xf numFmtId="44" fontId="55" fillId="4" borderId="3" xfId="0" applyNumberFormat="1" applyFont="1" applyFill="1" applyBorder="1" applyAlignment="1">
      <alignment vertical="center" wrapText="1"/>
    </xf>
    <xf numFmtId="178" fontId="56" fillId="0" borderId="3" xfId="0" applyNumberFormat="1" applyFont="1" applyBorder="1"/>
    <xf numFmtId="0" fontId="0" fillId="0" borderId="26" xfId="0" applyBorder="1"/>
    <xf numFmtId="0" fontId="3" fillId="0" borderId="0" xfId="20"/>
    <xf numFmtId="0" fontId="57" fillId="0" borderId="0" xfId="20" applyFont="1"/>
    <xf numFmtId="44" fontId="0" fillId="0" borderId="0" xfId="21" applyFont="1"/>
    <xf numFmtId="44" fontId="0" fillId="0" borderId="27" xfId="21" applyFont="1" applyBorder="1"/>
    <xf numFmtId="44" fontId="58" fillId="0" borderId="0" xfId="21" applyFont="1"/>
    <xf numFmtId="0" fontId="59" fillId="0" borderId="0" xfId="20" applyFont="1"/>
    <xf numFmtId="44" fontId="0" fillId="0" borderId="5" xfId="21" applyFont="1" applyBorder="1"/>
    <xf numFmtId="44" fontId="0" fillId="0" borderId="10" xfId="21" applyFont="1" applyBorder="1"/>
    <xf numFmtId="44" fontId="59" fillId="0" borderId="0" xfId="21" applyFont="1"/>
    <xf numFmtId="44" fontId="0" fillId="0" borderId="21" xfId="21" applyFont="1" applyBorder="1"/>
    <xf numFmtId="44" fontId="0" fillId="0" borderId="0" xfId="21" applyFont="1" applyBorder="1"/>
    <xf numFmtId="44" fontId="3" fillId="0" borderId="5" xfId="21" applyFont="1" applyBorder="1"/>
    <xf numFmtId="44" fontId="0" fillId="0" borderId="20" xfId="21" applyFont="1" applyBorder="1"/>
    <xf numFmtId="0" fontId="3" fillId="0" borderId="27" xfId="20" applyBorder="1"/>
    <xf numFmtId="44" fontId="3" fillId="0" borderId="27" xfId="20" applyNumberFormat="1" applyBorder="1"/>
    <xf numFmtId="44" fontId="3" fillId="0" borderId="0" xfId="20" applyNumberFormat="1"/>
    <xf numFmtId="44" fontId="0" fillId="18" borderId="10" xfId="21" applyFont="1" applyFill="1" applyBorder="1"/>
    <xf numFmtId="44" fontId="0" fillId="18" borderId="5" xfId="21" applyFont="1" applyFill="1" applyBorder="1"/>
    <xf numFmtId="44" fontId="0" fillId="18" borderId="27" xfId="21" applyFont="1" applyFill="1" applyBorder="1"/>
    <xf numFmtId="44" fontId="0" fillId="18" borderId="0" xfId="21" applyFont="1" applyFill="1"/>
    <xf numFmtId="0" fontId="3" fillId="0" borderId="20" xfId="20" applyBorder="1"/>
    <xf numFmtId="44" fontId="3" fillId="18" borderId="20" xfId="20" applyNumberFormat="1" applyFill="1" applyBorder="1"/>
    <xf numFmtId="44" fontId="3" fillId="18" borderId="27" xfId="20" applyNumberFormat="1" applyFill="1" applyBorder="1"/>
    <xf numFmtId="0" fontId="3" fillId="18" borderId="0" xfId="20" applyFill="1"/>
    <xf numFmtId="44" fontId="34" fillId="0" borderId="3" xfId="0" applyNumberFormat="1" applyFont="1" applyBorder="1"/>
    <xf numFmtId="0" fontId="34" fillId="0" borderId="14" xfId="0" applyFont="1" applyBorder="1"/>
    <xf numFmtId="44" fontId="34" fillId="0" borderId="0" xfId="0" applyNumberFormat="1" applyFont="1"/>
    <xf numFmtId="44" fontId="0" fillId="0" borderId="0" xfId="0" applyNumberFormat="1" applyAlignment="1">
      <alignment horizontal="center"/>
    </xf>
    <xf numFmtId="44" fontId="3" fillId="18" borderId="21" xfId="20" applyNumberFormat="1" applyFill="1" applyBorder="1"/>
    <xf numFmtId="44" fontId="3" fillId="18" borderId="4" xfId="20" applyNumberFormat="1" applyFill="1" applyBorder="1"/>
    <xf numFmtId="178" fontId="52" fillId="16" borderId="10" xfId="0" applyNumberFormat="1" applyFont="1" applyFill="1" applyBorder="1" applyAlignment="1">
      <alignment horizontal="left" vertical="center" wrapText="1"/>
    </xf>
    <xf numFmtId="44" fontId="34" fillId="0" borderId="10" xfId="2" applyFont="1" applyBorder="1" applyAlignment="1">
      <alignment vertical="center"/>
    </xf>
    <xf numFmtId="178" fontId="34" fillId="0" borderId="10" xfId="0" applyNumberFormat="1" applyFont="1" applyBorder="1"/>
    <xf numFmtId="44" fontId="34" fillId="0" borderId="10" xfId="2" applyFont="1" applyBorder="1"/>
    <xf numFmtId="178" fontId="56" fillId="0" borderId="10" xfId="0" applyNumberFormat="1" applyFont="1" applyBorder="1"/>
    <xf numFmtId="0" fontId="54" fillId="0" borderId="48" xfId="0" applyFont="1" applyBorder="1"/>
    <xf numFmtId="0" fontId="53" fillId="16" borderId="48" xfId="0" applyFont="1" applyFill="1" applyBorder="1" applyAlignment="1">
      <alignment horizontal="left" vertical="center" wrapText="1"/>
    </xf>
    <xf numFmtId="44" fontId="4" fillId="4" borderId="48" xfId="2" applyFont="1" applyFill="1" applyBorder="1" applyAlignment="1">
      <alignment vertical="center" wrapText="1"/>
    </xf>
    <xf numFmtId="44" fontId="4" fillId="4" borderId="48" xfId="2" applyFont="1" applyFill="1" applyBorder="1" applyAlignment="1">
      <alignment horizontal="center" vertical="center" wrapText="1"/>
    </xf>
    <xf numFmtId="8" fontId="34" fillId="0" borderId="48" xfId="0" applyNumberFormat="1" applyFont="1" applyBorder="1"/>
    <xf numFmtId="44" fontId="4" fillId="17" borderId="48" xfId="2" applyFont="1" applyFill="1" applyBorder="1" applyAlignment="1">
      <alignment vertical="center" wrapText="1"/>
    </xf>
    <xf numFmtId="44" fontId="4" fillId="4" borderId="48" xfId="2" applyFont="1" applyFill="1" applyBorder="1"/>
    <xf numFmtId="44" fontId="34" fillId="0" borderId="48" xfId="2" applyFont="1" applyBorder="1"/>
    <xf numFmtId="0" fontId="34" fillId="0" borderId="48" xfId="0" applyFont="1" applyBorder="1"/>
    <xf numFmtId="0" fontId="34" fillId="0" borderId="49" xfId="0" applyFont="1" applyBorder="1"/>
    <xf numFmtId="0" fontId="0" fillId="0" borderId="48" xfId="0" applyBorder="1"/>
    <xf numFmtId="169" fontId="56" fillId="0" borderId="48" xfId="0" applyNumberFormat="1" applyFont="1" applyBorder="1"/>
    <xf numFmtId="178" fontId="3" fillId="16" borderId="48" xfId="0" applyNumberFormat="1" applyFont="1" applyFill="1" applyBorder="1" applyAlignment="1">
      <alignment horizontal="left" vertical="center" wrapText="1"/>
    </xf>
    <xf numFmtId="178" fontId="34" fillId="0" borderId="48" xfId="0" applyNumberFormat="1" applyFont="1" applyBorder="1"/>
    <xf numFmtId="0" fontId="34" fillId="0" borderId="10" xfId="0" applyFont="1" applyBorder="1"/>
    <xf numFmtId="44" fontId="34" fillId="0" borderId="10" xfId="0" applyNumberFormat="1" applyFont="1" applyBorder="1"/>
    <xf numFmtId="0" fontId="34" fillId="0" borderId="0" xfId="0" applyFont="1"/>
    <xf numFmtId="0" fontId="49" fillId="19" borderId="0" xfId="0" applyFont="1" applyFill="1" applyAlignment="1">
      <alignment horizontal="center" vertical="center"/>
    </xf>
    <xf numFmtId="0" fontId="50" fillId="15" borderId="18" xfId="0" applyFont="1" applyFill="1" applyBorder="1" applyAlignment="1">
      <alignment horizontal="center" vertical="center"/>
    </xf>
    <xf numFmtId="6" fontId="34" fillId="0" borderId="4" xfId="0" applyNumberFormat="1" applyFont="1" applyBorder="1"/>
    <xf numFmtId="44" fontId="34" fillId="0" borderId="4" xfId="0" applyNumberFormat="1" applyFont="1" applyBorder="1"/>
    <xf numFmtId="169" fontId="56" fillId="0" borderId="4" xfId="0" applyNumberFormat="1" applyFont="1" applyBorder="1"/>
    <xf numFmtId="0" fontId="50" fillId="15" borderId="21" xfId="0" applyFont="1" applyFill="1" applyBorder="1" applyAlignment="1">
      <alignment horizontal="center" vertical="center"/>
    </xf>
    <xf numFmtId="178" fontId="2" fillId="16" borderId="10" xfId="0" applyNumberFormat="1" applyFont="1" applyFill="1" applyBorder="1" applyAlignment="1">
      <alignment horizontal="left" vertical="center" wrapText="1"/>
    </xf>
    <xf numFmtId="44" fontId="34" fillId="0" borderId="20" xfId="0" applyNumberFormat="1" applyFont="1" applyBorder="1"/>
    <xf numFmtId="178" fontId="40" fillId="0" borderId="10" xfId="0" applyNumberFormat="1" applyFont="1" applyBorder="1"/>
    <xf numFmtId="0" fontId="50" fillId="19" borderId="0" xfId="0" applyFont="1" applyFill="1" applyAlignment="1">
      <alignment horizontal="center" vertical="center"/>
    </xf>
    <xf numFmtId="0" fontId="34" fillId="19" borderId="0" xfId="0" applyFont="1" applyFill="1"/>
    <xf numFmtId="178" fontId="2" fillId="19" borderId="0" xfId="0" applyNumberFormat="1" applyFont="1" applyFill="1" applyAlignment="1">
      <alignment horizontal="left" vertical="center" wrapText="1"/>
    </xf>
    <xf numFmtId="178" fontId="34" fillId="19" borderId="0" xfId="0" applyNumberFormat="1" applyFont="1" applyFill="1"/>
    <xf numFmtId="44" fontId="34" fillId="19" borderId="0" xfId="0" applyNumberFormat="1" applyFont="1" applyFill="1"/>
    <xf numFmtId="178" fontId="40" fillId="19" borderId="0" xfId="0" applyNumberFormat="1" applyFont="1" applyFill="1"/>
    <xf numFmtId="178" fontId="34" fillId="0" borderId="4" xfId="0" applyNumberFormat="1" applyFont="1" applyBorder="1"/>
    <xf numFmtId="178" fontId="40" fillId="0" borderId="4" xfId="0" applyNumberFormat="1" applyFont="1" applyBorder="1"/>
    <xf numFmtId="0" fontId="40" fillId="19" borderId="0" xfId="0" applyFont="1" applyFill="1"/>
    <xf numFmtId="0" fontId="0" fillId="19" borderId="0" xfId="0" applyFill="1"/>
    <xf numFmtId="44" fontId="34" fillId="0" borderId="48" xfId="0" applyNumberFormat="1" applyFont="1" applyBorder="1"/>
    <xf numFmtId="0" fontId="34" fillId="0" borderId="50" xfId="0" applyFont="1" applyBorder="1"/>
    <xf numFmtId="44" fontId="0" fillId="0" borderId="10" xfId="21" applyFont="1" applyFill="1" applyBorder="1"/>
    <xf numFmtId="44" fontId="0" fillId="0" borderId="27" xfId="21" applyFont="1" applyFill="1" applyBorder="1"/>
    <xf numFmtId="0" fontId="0" fillId="0" borderId="27" xfId="0" applyBorder="1"/>
    <xf numFmtId="0" fontId="0" fillId="0" borderId="7" xfId="0" applyBorder="1" applyAlignment="1">
      <alignment horizontal="center"/>
    </xf>
    <xf numFmtId="44" fontId="36" fillId="0" borderId="0" xfId="0" applyNumberFormat="1" applyFont="1" applyAlignment="1">
      <alignment horizontal="center"/>
    </xf>
    <xf numFmtId="0" fontId="36" fillId="0" borderId="7" xfId="0" applyFont="1" applyBorder="1" applyAlignment="1">
      <alignment horizontal="center"/>
    </xf>
    <xf numFmtId="0" fontId="0" fillId="0" borderId="7" xfId="0" applyBorder="1"/>
    <xf numFmtId="44" fontId="0" fillId="0" borderId="16" xfId="0" applyNumberFormat="1" applyBorder="1"/>
    <xf numFmtId="44" fontId="0" fillId="0" borderId="0" xfId="1" applyNumberFormat="1" applyFont="1" applyBorder="1"/>
    <xf numFmtId="175" fontId="36" fillId="0" borderId="9" xfId="0" applyNumberFormat="1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62" fillId="0" borderId="7" xfId="0" applyFont="1" applyBorder="1"/>
    <xf numFmtId="0" fontId="36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175" fontId="0" fillId="0" borderId="0" xfId="0" applyNumberFormat="1"/>
    <xf numFmtId="0" fontId="36" fillId="0" borderId="0" xfId="0" applyFont="1"/>
    <xf numFmtId="0" fontId="62" fillId="0" borderId="0" xfId="0" applyFont="1"/>
    <xf numFmtId="0" fontId="36" fillId="0" borderId="27" xfId="0" applyFont="1" applyBorder="1" applyAlignment="1">
      <alignment horizontal="center"/>
    </xf>
    <xf numFmtId="0" fontId="63" fillId="0" borderId="0" xfId="0" applyFont="1" applyAlignment="1">
      <alignment vertical="center" wrapText="1"/>
    </xf>
    <xf numFmtId="0" fontId="61" fillId="0" borderId="0" xfId="0" applyFont="1" applyAlignment="1">
      <alignment horizontal="left" vertical="top"/>
    </xf>
    <xf numFmtId="0" fontId="63" fillId="0" borderId="0" xfId="0" applyFont="1" applyAlignment="1">
      <alignment horizontal="left" vertical="top"/>
    </xf>
    <xf numFmtId="10" fontId="61" fillId="0" borderId="0" xfId="3" applyNumberFormat="1" applyFont="1" applyFill="1" applyBorder="1" applyAlignment="1">
      <alignment horizontal="left" vertical="top" wrapText="1"/>
    </xf>
    <xf numFmtId="0" fontId="61" fillId="0" borderId="0" xfId="0" applyFont="1"/>
    <xf numFmtId="44" fontId="0" fillId="0" borderId="51" xfId="0" applyNumberFormat="1" applyBorder="1"/>
    <xf numFmtId="44" fontId="0" fillId="0" borderId="51" xfId="0" applyNumberFormat="1" applyBorder="1" applyAlignment="1">
      <alignment horizontal="center"/>
    </xf>
    <xf numFmtId="9" fontId="36" fillId="0" borderId="27" xfId="3" applyFont="1" applyFill="1" applyBorder="1" applyAlignment="1">
      <alignment horizontal="center"/>
    </xf>
    <xf numFmtId="179" fontId="36" fillId="0" borderId="27" xfId="3" applyNumberFormat="1" applyFont="1" applyFill="1" applyBorder="1" applyAlignment="1">
      <alignment horizontal="center"/>
    </xf>
    <xf numFmtId="0" fontId="1" fillId="0" borderId="3" xfId="9" applyFont="1" applyBorder="1"/>
    <xf numFmtId="44" fontId="0" fillId="0" borderId="7" xfId="21" applyFont="1" applyBorder="1"/>
    <xf numFmtId="0" fontId="3" fillId="0" borderId="18" xfId="20" applyBorder="1"/>
    <xf numFmtId="6" fontId="34" fillId="0" borderId="3" xfId="0" applyNumberFormat="1" applyFont="1" applyBorder="1"/>
    <xf numFmtId="6" fontId="55" fillId="0" borderId="4" xfId="0" applyNumberFormat="1" applyFont="1" applyBorder="1" applyAlignment="1">
      <alignment vertical="center" wrapText="1"/>
    </xf>
    <xf numFmtId="0" fontId="63" fillId="0" borderId="7" xfId="0" applyFont="1" applyBorder="1" applyAlignment="1">
      <alignment vertical="center" wrapText="1"/>
    </xf>
    <xf numFmtId="44" fontId="64" fillId="0" borderId="0" xfId="0" applyNumberFormat="1" applyFont="1"/>
    <xf numFmtId="0" fontId="65" fillId="0" borderId="7" xfId="0" applyFont="1" applyBorder="1"/>
    <xf numFmtId="44" fontId="64" fillId="0" borderId="51" xfId="0" applyNumberFormat="1" applyFont="1" applyBorder="1"/>
    <xf numFmtId="44" fontId="64" fillId="0" borderId="51" xfId="2" applyFont="1" applyBorder="1"/>
    <xf numFmtId="9" fontId="60" fillId="0" borderId="27" xfId="3" applyFont="1" applyFill="1" applyBorder="1" applyAlignment="1">
      <alignment horizontal="center"/>
    </xf>
    <xf numFmtId="175" fontId="36" fillId="0" borderId="0" xfId="0" applyNumberFormat="1" applyFont="1" applyAlignment="1">
      <alignment horizontal="center"/>
    </xf>
    <xf numFmtId="0" fontId="36" fillId="0" borderId="55" xfId="0" applyFont="1" applyBorder="1" applyAlignment="1">
      <alignment horizontal="center"/>
    </xf>
    <xf numFmtId="0" fontId="0" fillId="0" borderId="55" xfId="0" applyBorder="1"/>
    <xf numFmtId="0" fontId="0" fillId="0" borderId="59" xfId="0" applyBorder="1" applyAlignment="1">
      <alignment horizontal="center"/>
    </xf>
    <xf numFmtId="0" fontId="62" fillId="0" borderId="55" xfId="0" applyFont="1" applyBorder="1"/>
    <xf numFmtId="43" fontId="0" fillId="0" borderId="59" xfId="0" applyNumberFormat="1" applyBorder="1" applyAlignment="1">
      <alignment horizontal="center"/>
    </xf>
    <xf numFmtId="0" fontId="63" fillId="0" borderId="55" xfId="0" applyFont="1" applyBorder="1" applyAlignment="1">
      <alignment vertical="center" wrapText="1"/>
    </xf>
    <xf numFmtId="0" fontId="0" fillId="0" borderId="59" xfId="0" applyBorder="1"/>
    <xf numFmtId="0" fontId="65" fillId="0" borderId="55" xfId="0" applyFont="1" applyBorder="1"/>
    <xf numFmtId="43" fontId="0" fillId="0" borderId="59" xfId="0" applyNumberFormat="1" applyBorder="1"/>
    <xf numFmtId="0" fontId="0" fillId="0" borderId="55" xfId="0" applyBorder="1" applyAlignment="1">
      <alignment horizontal="center"/>
    </xf>
    <xf numFmtId="9" fontId="36" fillId="0" borderId="59" xfId="3" applyFont="1" applyFill="1" applyBorder="1" applyAlignment="1">
      <alignment horizontal="center"/>
    </xf>
    <xf numFmtId="0" fontId="36" fillId="0" borderId="55" xfId="0" applyFont="1" applyBorder="1"/>
    <xf numFmtId="0" fontId="61" fillId="0" borderId="55" xfId="0" applyFont="1" applyBorder="1" applyAlignment="1">
      <alignment horizontal="left" vertical="top"/>
    </xf>
    <xf numFmtId="0" fontId="63" fillId="0" borderId="55" xfId="0" applyFont="1" applyBorder="1" applyAlignment="1">
      <alignment horizontal="left" vertical="top"/>
    </xf>
    <xf numFmtId="179" fontId="36" fillId="0" borderId="59" xfId="3" applyNumberFormat="1" applyFont="1" applyFill="1" applyBorder="1" applyAlignment="1">
      <alignment horizontal="center"/>
    </xf>
    <xf numFmtId="10" fontId="61" fillId="0" borderId="55" xfId="3" applyNumberFormat="1" applyFont="1" applyFill="1" applyBorder="1" applyAlignment="1">
      <alignment horizontal="left" vertical="top" wrapText="1"/>
    </xf>
    <xf numFmtId="0" fontId="23" fillId="0" borderId="55" xfId="0" applyFont="1" applyBorder="1"/>
    <xf numFmtId="0" fontId="61" fillId="0" borderId="55" xfId="0" applyFont="1" applyBorder="1"/>
    <xf numFmtId="0" fontId="36" fillId="0" borderId="60" xfId="0" applyFont="1" applyBorder="1" applyAlignment="1">
      <alignment horizontal="center"/>
    </xf>
    <xf numFmtId="175" fontId="36" fillId="0" borderId="16" xfId="0" applyNumberFormat="1" applyFont="1" applyBorder="1" applyAlignment="1">
      <alignment horizontal="center"/>
    </xf>
    <xf numFmtId="0" fontId="0" fillId="0" borderId="62" xfId="0" applyBorder="1"/>
    <xf numFmtId="9" fontId="60" fillId="0" borderId="59" xfId="3" applyFont="1" applyFill="1" applyBorder="1" applyAlignment="1">
      <alignment horizontal="center"/>
    </xf>
    <xf numFmtId="44" fontId="66" fillId="0" borderId="0" xfId="0" applyNumberFormat="1" applyFont="1"/>
    <xf numFmtId="0" fontId="67" fillId="0" borderId="0" xfId="0" applyFont="1"/>
    <xf numFmtId="9" fontId="60" fillId="21" borderId="27" xfId="3" applyFont="1" applyFill="1" applyBorder="1" applyAlignment="1">
      <alignment horizontal="center"/>
    </xf>
    <xf numFmtId="9" fontId="60" fillId="21" borderId="0" xfId="3" applyFont="1" applyFill="1" applyAlignment="1">
      <alignment horizontal="center"/>
    </xf>
    <xf numFmtId="9" fontId="60" fillId="21" borderId="9" xfId="3" applyFont="1" applyFill="1" applyBorder="1" applyAlignment="1">
      <alignment horizontal="center"/>
    </xf>
    <xf numFmtId="9" fontId="60" fillId="21" borderId="21" xfId="3" applyFont="1" applyFill="1" applyBorder="1" applyAlignment="1">
      <alignment horizontal="center"/>
    </xf>
    <xf numFmtId="9" fontId="60" fillId="20" borderId="0" xfId="3" applyFont="1" applyFill="1" applyAlignment="1">
      <alignment horizontal="center"/>
    </xf>
    <xf numFmtId="179" fontId="60" fillId="20" borderId="27" xfId="3" applyNumberFormat="1" applyFont="1" applyFill="1" applyBorder="1" applyAlignment="1">
      <alignment horizontal="center"/>
    </xf>
    <xf numFmtId="9" fontId="60" fillId="20" borderId="27" xfId="3" applyFont="1" applyFill="1" applyBorder="1" applyAlignment="1">
      <alignment horizontal="center"/>
    </xf>
    <xf numFmtId="9" fontId="60" fillId="20" borderId="59" xfId="3" applyFont="1" applyFill="1" applyBorder="1" applyAlignment="1">
      <alignment horizontal="center"/>
    </xf>
    <xf numFmtId="179" fontId="60" fillId="20" borderId="59" xfId="3" applyNumberFormat="1" applyFont="1" applyFill="1" applyBorder="1" applyAlignment="1">
      <alignment horizontal="center"/>
    </xf>
    <xf numFmtId="9" fontId="60" fillId="21" borderId="59" xfId="3" applyFont="1" applyFill="1" applyBorder="1" applyAlignment="1">
      <alignment horizontal="center"/>
    </xf>
    <xf numFmtId="9" fontId="60" fillId="21" borderId="61" xfId="3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44" fontId="61" fillId="0" borderId="0" xfId="0" applyNumberFormat="1" applyFont="1"/>
    <xf numFmtId="0" fontId="0" fillId="0" borderId="66" xfId="0" applyBorder="1"/>
    <xf numFmtId="9" fontId="0" fillId="0" borderId="0" xfId="0" applyNumberFormat="1" applyAlignment="1">
      <alignment horizontal="center"/>
    </xf>
    <xf numFmtId="44" fontId="0" fillId="0" borderId="16" xfId="2" applyFont="1" applyBorder="1"/>
    <xf numFmtId="10" fontId="60" fillId="20" borderId="0" xfId="3" applyNumberFormat="1" applyFont="1" applyFill="1" applyAlignment="1">
      <alignment horizontal="center"/>
    </xf>
    <xf numFmtId="0" fontId="0" fillId="0" borderId="67" xfId="0" applyBorder="1"/>
    <xf numFmtId="10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10" fontId="0" fillId="0" borderId="0" xfId="3" applyNumberFormat="1" applyFont="1" applyAlignment="1">
      <alignment horizontal="center"/>
    </xf>
    <xf numFmtId="0" fontId="36" fillId="0" borderId="68" xfId="0" applyFont="1" applyBorder="1"/>
    <xf numFmtId="44" fontId="36" fillId="0" borderId="69" xfId="2" applyFont="1" applyBorder="1"/>
    <xf numFmtId="10" fontId="60" fillId="21" borderId="69" xfId="3" applyNumberFormat="1" applyFont="1" applyFill="1" applyBorder="1" applyAlignment="1">
      <alignment horizontal="center"/>
    </xf>
    <xf numFmtId="43" fontId="60" fillId="21" borderId="70" xfId="1" applyFont="1" applyFill="1" applyBorder="1" applyAlignment="1">
      <alignment horizontal="center"/>
    </xf>
    <xf numFmtId="0" fontId="0" fillId="0" borderId="67" xfId="0" applyFill="1" applyBorder="1"/>
    <xf numFmtId="10" fontId="60" fillId="0" borderId="0" xfId="3" applyNumberFormat="1" applyFont="1" applyFill="1" applyAlignment="1">
      <alignment horizontal="center"/>
    </xf>
    <xf numFmtId="170" fontId="60" fillId="21" borderId="3" xfId="18" applyNumberFormat="1" applyFont="1" applyFill="1" applyBorder="1"/>
    <xf numFmtId="0" fontId="60" fillId="21" borderId="3" xfId="18" applyFont="1" applyFill="1" applyBorder="1"/>
    <xf numFmtId="2" fontId="71" fillId="21" borderId="3" xfId="18" applyNumberFormat="1" applyFont="1" applyFill="1" applyBorder="1" applyAlignment="1">
      <alignment horizontal="center" vertical="center" wrapText="1"/>
    </xf>
    <xf numFmtId="0" fontId="71" fillId="21" borderId="3" xfId="18" applyFont="1" applyFill="1" applyBorder="1" applyAlignment="1">
      <alignment horizontal="center"/>
    </xf>
    <xf numFmtId="9" fontId="71" fillId="21" borderId="3" xfId="19" applyFont="1" applyFill="1" applyBorder="1" applyAlignment="1">
      <alignment horizontal="center"/>
    </xf>
    <xf numFmtId="169" fontId="71" fillId="21" borderId="3" xfId="18" applyNumberFormat="1" applyFont="1" applyFill="1" applyBorder="1" applyAlignment="1">
      <alignment horizontal="center"/>
    </xf>
    <xf numFmtId="0" fontId="71" fillId="21" borderId="3" xfId="18" applyFont="1" applyFill="1" applyBorder="1" applyAlignment="1">
      <alignment horizontal="center" vertical="center" wrapText="1"/>
    </xf>
    <xf numFmtId="0" fontId="68" fillId="21" borderId="3" xfId="18" applyFont="1" applyFill="1" applyBorder="1"/>
    <xf numFmtId="14" fontId="71" fillId="21" borderId="3" xfId="18" applyNumberFormat="1" applyFont="1" applyFill="1" applyBorder="1"/>
    <xf numFmtId="14" fontId="71" fillId="21" borderId="3" xfId="18" applyNumberFormat="1" applyFont="1" applyFill="1" applyBorder="1" applyAlignment="1">
      <alignment horizontal="right"/>
    </xf>
    <xf numFmtId="14" fontId="71" fillId="21" borderId="14" xfId="18" applyNumberFormat="1" applyFont="1" applyFill="1" applyBorder="1"/>
    <xf numFmtId="44" fontId="72" fillId="21" borderId="0" xfId="2" applyFont="1" applyFill="1" applyBorder="1" applyAlignment="1">
      <alignment horizontal="center"/>
    </xf>
    <xf numFmtId="0" fontId="50" fillId="21" borderId="11" xfId="0" applyFont="1" applyFill="1" applyBorder="1"/>
    <xf numFmtId="0" fontId="50" fillId="21" borderId="11" xfId="0" applyFont="1" applyFill="1" applyBorder="1" applyAlignment="1">
      <alignment horizontal="center"/>
    </xf>
    <xf numFmtId="0" fontId="50" fillId="21" borderId="19" xfId="0" applyFont="1" applyFill="1" applyBorder="1" applyAlignment="1">
      <alignment horizontal="center"/>
    </xf>
    <xf numFmtId="0" fontId="50" fillId="21" borderId="23" xfId="0" applyFont="1" applyFill="1" applyBorder="1" applyAlignment="1">
      <alignment horizontal="center"/>
    </xf>
    <xf numFmtId="43" fontId="72" fillId="20" borderId="3" xfId="1" applyFont="1" applyFill="1" applyBorder="1" applyAlignment="1">
      <alignment horizontal="center"/>
    </xf>
    <xf numFmtId="0" fontId="72" fillId="21" borderId="15" xfId="0" applyFont="1" applyFill="1" applyBorder="1"/>
    <xf numFmtId="0" fontId="72" fillId="21" borderId="21" xfId="0" applyFont="1" applyFill="1" applyBorder="1"/>
    <xf numFmtId="0" fontId="72" fillId="21" borderId="21" xfId="0" applyFont="1" applyFill="1" applyBorder="1" applyAlignment="1">
      <alignment horizontal="center"/>
    </xf>
    <xf numFmtId="0" fontId="50" fillId="22" borderId="33" xfId="0" applyFont="1" applyFill="1" applyBorder="1" applyAlignment="1">
      <alignment horizontal="center"/>
    </xf>
    <xf numFmtId="0" fontId="50" fillId="22" borderId="34" xfId="0" applyFont="1" applyFill="1" applyBorder="1" applyAlignment="1">
      <alignment horizontal="center"/>
    </xf>
    <xf numFmtId="0" fontId="72" fillId="21" borderId="10" xfId="0" applyFont="1" applyFill="1" applyBorder="1"/>
    <xf numFmtId="0" fontId="72" fillId="21" borderId="10" xfId="0" applyFont="1" applyFill="1" applyBorder="1" applyAlignment="1">
      <alignment horizontal="center"/>
    </xf>
    <xf numFmtId="0" fontId="71" fillId="22" borderId="33" xfId="0" applyFont="1" applyFill="1" applyBorder="1" applyAlignment="1">
      <alignment horizontal="center"/>
    </xf>
    <xf numFmtId="0" fontId="71" fillId="22" borderId="34" xfId="0" applyFont="1" applyFill="1" applyBorder="1" applyAlignment="1">
      <alignment horizontal="center"/>
    </xf>
    <xf numFmtId="0" fontId="72" fillId="21" borderId="18" xfId="0" applyFont="1" applyFill="1" applyBorder="1"/>
    <xf numFmtId="0" fontId="50" fillId="22" borderId="27" xfId="0" applyFont="1" applyFill="1" applyBorder="1" applyAlignment="1">
      <alignment horizontal="center"/>
    </xf>
    <xf numFmtId="0" fontId="50" fillId="22" borderId="38" xfId="0" applyFont="1" applyFill="1" applyBorder="1" applyAlignment="1">
      <alignment horizontal="center"/>
    </xf>
    <xf numFmtId="0" fontId="72" fillId="22" borderId="15" xfId="0" applyFont="1" applyFill="1" applyBorder="1" applyAlignment="1">
      <alignment wrapText="1"/>
    </xf>
    <xf numFmtId="0" fontId="72" fillId="22" borderId="21" xfId="0" applyFont="1" applyFill="1" applyBorder="1"/>
    <xf numFmtId="0" fontId="50" fillId="22" borderId="35" xfId="0" applyFont="1" applyFill="1" applyBorder="1"/>
    <xf numFmtId="0" fontId="50" fillId="22" borderId="36" xfId="0" applyFont="1" applyFill="1" applyBorder="1"/>
    <xf numFmtId="0" fontId="50" fillId="22" borderId="37" xfId="0" applyFont="1" applyFill="1" applyBorder="1"/>
    <xf numFmtId="44" fontId="50" fillId="20" borderId="21" xfId="2" applyFont="1" applyFill="1" applyBorder="1"/>
    <xf numFmtId="0" fontId="50" fillId="20" borderId="21" xfId="0" applyFont="1" applyFill="1" applyBorder="1"/>
    <xf numFmtId="4" fontId="67" fillId="20" borderId="21" xfId="0" applyNumberFormat="1" applyFont="1" applyFill="1" applyBorder="1"/>
    <xf numFmtId="0" fontId="72" fillId="20" borderId="21" xfId="0" applyFont="1" applyFill="1" applyBorder="1"/>
    <xf numFmtId="173" fontId="72" fillId="20" borderId="21" xfId="0" applyNumberFormat="1" applyFont="1" applyFill="1" applyBorder="1"/>
    <xf numFmtId="0" fontId="50" fillId="20" borderId="40" xfId="0" applyFont="1" applyFill="1" applyBorder="1"/>
    <xf numFmtId="0" fontId="45" fillId="23" borderId="0" xfId="13" applyFont="1" applyFill="1"/>
    <xf numFmtId="0" fontId="73" fillId="23" borderId="0" xfId="13" applyFont="1" applyFill="1"/>
    <xf numFmtId="0" fontId="74" fillId="24" borderId="0" xfId="13" applyFont="1" applyFill="1"/>
    <xf numFmtId="2" fontId="74" fillId="24" borderId="0" xfId="2" applyNumberFormat="1" applyFont="1" applyFill="1" applyAlignment="1">
      <alignment horizontal="center" vertical="center"/>
    </xf>
    <xf numFmtId="44" fontId="74" fillId="24" borderId="0" xfId="2" applyFont="1" applyFill="1"/>
    <xf numFmtId="0" fontId="74" fillId="25" borderId="43" xfId="13" applyFont="1" applyFill="1" applyBorder="1" applyAlignment="1">
      <alignment horizontal="center" vertical="center"/>
    </xf>
    <xf numFmtId="0" fontId="74" fillId="25" borderId="46" xfId="13" applyFont="1" applyFill="1" applyBorder="1" applyAlignment="1">
      <alignment horizontal="center" vertical="center"/>
    </xf>
    <xf numFmtId="0" fontId="74" fillId="25" borderId="3" xfId="13" applyFont="1" applyFill="1" applyBorder="1" applyAlignment="1">
      <alignment horizontal="center" vertical="center"/>
    </xf>
    <xf numFmtId="0" fontId="72" fillId="21" borderId="3" xfId="0" applyFont="1" applyFill="1" applyBorder="1"/>
    <xf numFmtId="0" fontId="50" fillId="21" borderId="3" xfId="0" applyFont="1" applyFill="1" applyBorder="1"/>
    <xf numFmtId="44" fontId="72" fillId="21" borderId="3" xfId="2" applyFont="1" applyFill="1" applyBorder="1" applyAlignment="1">
      <alignment horizontal="center"/>
    </xf>
    <xf numFmtId="44" fontId="60" fillId="21" borderId="3" xfId="2" applyFont="1" applyFill="1" applyBorder="1"/>
    <xf numFmtId="44" fontId="60" fillId="21" borderId="3" xfId="0" applyNumberFormat="1" applyFont="1" applyFill="1" applyBorder="1"/>
    <xf numFmtId="9" fontId="60" fillId="21" borderId="3" xfId="3" applyFont="1" applyFill="1" applyBorder="1"/>
    <xf numFmtId="0" fontId="50" fillId="21" borderId="14" xfId="0" applyFont="1" applyFill="1" applyBorder="1"/>
    <xf numFmtId="0" fontId="50" fillId="21" borderId="12" xfId="0" applyFont="1" applyFill="1" applyBorder="1" applyAlignment="1">
      <alignment horizontal="center"/>
    </xf>
    <xf numFmtId="0" fontId="50" fillId="21" borderId="14" xfId="0" applyFont="1" applyFill="1" applyBorder="1" applyAlignment="1">
      <alignment horizontal="center"/>
    </xf>
    <xf numFmtId="0" fontId="50" fillId="21" borderId="8" xfId="0" applyFont="1" applyFill="1" applyBorder="1" applyAlignment="1">
      <alignment horizontal="center"/>
    </xf>
    <xf numFmtId="0" fontId="50" fillId="21" borderId="18" xfId="0" applyFont="1" applyFill="1" applyBorder="1"/>
    <xf numFmtId="0" fontId="50" fillId="21" borderId="18" xfId="0" applyFont="1" applyFill="1" applyBorder="1" applyAlignment="1">
      <alignment horizontal="center"/>
    </xf>
    <xf numFmtId="0" fontId="50" fillId="21" borderId="15" xfId="0" applyFont="1" applyFill="1" applyBorder="1" applyAlignment="1">
      <alignment horizontal="center"/>
    </xf>
    <xf numFmtId="0" fontId="50" fillId="21" borderId="9" xfId="0" applyFont="1" applyFill="1" applyBorder="1" applyAlignment="1">
      <alignment horizontal="center"/>
    </xf>
    <xf numFmtId="0" fontId="50" fillId="21" borderId="3" xfId="0" applyFont="1" applyFill="1" applyBorder="1" applyAlignment="1">
      <alignment horizontal="center"/>
    </xf>
    <xf numFmtId="0" fontId="50" fillId="21" borderId="4" xfId="0" applyFont="1" applyFill="1" applyBorder="1"/>
    <xf numFmtId="0" fontId="72" fillId="21" borderId="3" xfId="0" applyFont="1" applyFill="1" applyBorder="1" applyAlignment="1">
      <alignment horizontal="center"/>
    </xf>
    <xf numFmtId="44" fontId="72" fillId="21" borderId="3" xfId="0" applyNumberFormat="1" applyFont="1" applyFill="1" applyBorder="1"/>
    <xf numFmtId="0" fontId="60" fillId="21" borderId="3" xfId="9" applyFont="1" applyFill="1" applyBorder="1" applyAlignment="1">
      <alignment horizontal="center"/>
    </xf>
    <xf numFmtId="0" fontId="60" fillId="21" borderId="3" xfId="9" applyFont="1" applyFill="1" applyBorder="1"/>
    <xf numFmtId="0" fontId="76" fillId="21" borderId="3" xfId="9" applyFont="1" applyFill="1" applyBorder="1" applyAlignment="1">
      <alignment horizontal="center"/>
    </xf>
    <xf numFmtId="0" fontId="50" fillId="21" borderId="3" xfId="5" applyFont="1" applyFill="1" applyBorder="1" applyAlignment="1">
      <alignment horizontal="center"/>
    </xf>
    <xf numFmtId="2" fontId="50" fillId="20" borderId="0" xfId="5" applyNumberFormat="1" applyFont="1" applyFill="1"/>
    <xf numFmtId="0" fontId="60" fillId="21" borderId="4" xfId="9" applyFont="1" applyFill="1" applyBorder="1" applyAlignment="1">
      <alignment horizontal="center"/>
    </xf>
    <xf numFmtId="0" fontId="60" fillId="21" borderId="5" xfId="9" applyFont="1" applyFill="1" applyBorder="1" applyAlignment="1">
      <alignment horizontal="center"/>
    </xf>
    <xf numFmtId="0" fontId="60" fillId="21" borderId="10" xfId="9" applyFont="1" applyFill="1" applyBorder="1" applyAlignment="1">
      <alignment horizontal="center"/>
    </xf>
    <xf numFmtId="0" fontId="60" fillId="21" borderId="12" xfId="9" applyFont="1" applyFill="1" applyBorder="1" applyAlignment="1">
      <alignment horizontal="center" vertical="center"/>
    </xf>
    <xf numFmtId="0" fontId="60" fillId="21" borderId="18" xfId="9" applyFont="1" applyFill="1" applyBorder="1" applyAlignment="1">
      <alignment horizontal="center" vertical="center"/>
    </xf>
    <xf numFmtId="0" fontId="60" fillId="21" borderId="8" xfId="9" applyFont="1" applyFill="1" applyBorder="1" applyAlignment="1">
      <alignment horizontal="center" vertical="center"/>
    </xf>
    <xf numFmtId="0" fontId="60" fillId="21" borderId="9" xfId="9" applyFont="1" applyFill="1" applyBorder="1" applyAlignment="1">
      <alignment horizontal="center" vertical="center"/>
    </xf>
    <xf numFmtId="0" fontId="60" fillId="21" borderId="20" xfId="9" applyFont="1" applyFill="1" applyBorder="1" applyAlignment="1">
      <alignment horizontal="center" vertical="center"/>
    </xf>
    <xf numFmtId="0" fontId="60" fillId="21" borderId="21" xfId="9" applyFont="1" applyFill="1" applyBorder="1" applyAlignment="1">
      <alignment horizontal="center" vertical="center"/>
    </xf>
    <xf numFmtId="0" fontId="38" fillId="0" borderId="3" xfId="9" applyFont="1" applyBorder="1" applyAlignment="1">
      <alignment horizontal="center"/>
    </xf>
    <xf numFmtId="0" fontId="76" fillId="21" borderId="3" xfId="9" applyFont="1" applyFill="1" applyBorder="1" applyAlignment="1">
      <alignment horizontal="center"/>
    </xf>
    <xf numFmtId="0" fontId="50" fillId="21" borderId="0" xfId="0" applyFont="1" applyFill="1" applyAlignment="1">
      <alignment horizontal="center"/>
    </xf>
    <xf numFmtId="0" fontId="50" fillId="21" borderId="4" xfId="0" applyFont="1" applyFill="1" applyBorder="1" applyAlignment="1">
      <alignment horizontal="center"/>
    </xf>
    <xf numFmtId="0" fontId="50" fillId="21" borderId="10" xfId="0" applyFont="1" applyFill="1" applyBorder="1" applyAlignment="1">
      <alignment horizontal="center"/>
    </xf>
    <xf numFmtId="0" fontId="50" fillId="21" borderId="4" xfId="0" applyFont="1" applyFill="1" applyBorder="1" applyAlignment="1">
      <alignment horizontal="left"/>
    </xf>
    <xf numFmtId="0" fontId="50" fillId="21" borderId="10" xfId="0" applyFont="1" applyFill="1" applyBorder="1" applyAlignment="1">
      <alignment horizontal="left"/>
    </xf>
    <xf numFmtId="0" fontId="60" fillId="21" borderId="4" xfId="0" applyFont="1" applyFill="1" applyBorder="1" applyAlignment="1">
      <alignment horizontal="center"/>
    </xf>
    <xf numFmtId="0" fontId="60" fillId="21" borderId="5" xfId="0" applyFont="1" applyFill="1" applyBorder="1" applyAlignment="1">
      <alignment horizontal="center"/>
    </xf>
    <xf numFmtId="0" fontId="60" fillId="21" borderId="10" xfId="0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19" xfId="0" applyFont="1" applyFill="1" applyBorder="1" applyAlignment="1">
      <alignment horizontal="center"/>
    </xf>
    <xf numFmtId="165" fontId="12" fillId="0" borderId="18" xfId="0" applyNumberFormat="1" applyFont="1" applyBorder="1" applyAlignment="1">
      <alignment horizontal="center"/>
    </xf>
    <xf numFmtId="165" fontId="12" fillId="0" borderId="21" xfId="0" applyNumberFormat="1" applyFont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1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45" fillId="0" borderId="0" xfId="13" applyFont="1" applyAlignment="1">
      <alignment horizontal="center" vertical="center"/>
    </xf>
    <xf numFmtId="0" fontId="7" fillId="0" borderId="0" xfId="13"/>
    <xf numFmtId="44" fontId="45" fillId="0" borderId="0" xfId="2" applyFont="1" applyAlignment="1">
      <alignment horizontal="center" vertical="center"/>
    </xf>
    <xf numFmtId="44" fontId="7" fillId="0" borderId="0" xfId="2" applyFont="1"/>
    <xf numFmtId="0" fontId="74" fillId="24" borderId="0" xfId="13" applyFont="1" applyFill="1" applyAlignment="1">
      <alignment horizontal="center" vertical="center"/>
    </xf>
    <xf numFmtId="0" fontId="75" fillId="20" borderId="0" xfId="13" applyFont="1" applyFill="1"/>
    <xf numFmtId="0" fontId="43" fillId="0" borderId="45" xfId="13" applyFont="1" applyBorder="1" applyAlignment="1">
      <alignment horizontal="center"/>
    </xf>
    <xf numFmtId="0" fontId="46" fillId="0" borderId="45" xfId="13" applyFont="1" applyBorder="1"/>
    <xf numFmtId="0" fontId="43" fillId="0" borderId="0" xfId="13" applyFont="1" applyAlignment="1">
      <alignment horizontal="center"/>
    </xf>
    <xf numFmtId="0" fontId="43" fillId="0" borderId="0" xfId="13" applyFont="1" applyAlignment="1">
      <alignment horizontal="center" vertical="center"/>
    </xf>
    <xf numFmtId="0" fontId="50" fillId="21" borderId="4" xfId="0" applyFont="1" applyFill="1" applyBorder="1"/>
    <xf numFmtId="0" fontId="50" fillId="21" borderId="5" xfId="0" applyFont="1" applyFill="1" applyBorder="1"/>
    <xf numFmtId="0" fontId="50" fillId="21" borderId="39" xfId="0" applyFont="1" applyFill="1" applyBorder="1"/>
    <xf numFmtId="0" fontId="50" fillId="22" borderId="4" xfId="0" applyFont="1" applyFill="1" applyBorder="1"/>
    <xf numFmtId="0" fontId="50" fillId="22" borderId="5" xfId="0" applyFont="1" applyFill="1" applyBorder="1"/>
    <xf numFmtId="0" fontId="50" fillId="22" borderId="39" xfId="0" applyFont="1" applyFill="1" applyBorder="1"/>
    <xf numFmtId="0" fontId="50" fillId="22" borderId="10" xfId="0" applyFont="1" applyFill="1" applyBorder="1"/>
    <xf numFmtId="0" fontId="50" fillId="22" borderId="4" xfId="0" applyFont="1" applyFill="1" applyBorder="1" applyAlignment="1">
      <alignment wrapText="1"/>
    </xf>
    <xf numFmtId="0" fontId="50" fillId="22" borderId="5" xfId="0" applyFont="1" applyFill="1" applyBorder="1" applyAlignment="1">
      <alignment wrapText="1"/>
    </xf>
    <xf numFmtId="0" fontId="50" fillId="22" borderId="39" xfId="0" applyFont="1" applyFill="1" applyBorder="1" applyAlignment="1">
      <alignment wrapText="1"/>
    </xf>
    <xf numFmtId="0" fontId="13" fillId="0" borderId="12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50" fillId="21" borderId="31" xfId="0" applyFont="1" applyFill="1" applyBorder="1" applyAlignment="1">
      <alignment horizontal="center"/>
    </xf>
    <xf numFmtId="0" fontId="50" fillId="21" borderId="32" xfId="0" applyFont="1" applyFill="1" applyBorder="1" applyAlignment="1">
      <alignment horizontal="center"/>
    </xf>
    <xf numFmtId="0" fontId="50" fillId="22" borderId="35" xfId="0" applyFont="1" applyFill="1" applyBorder="1"/>
    <xf numFmtId="0" fontId="50" fillId="22" borderId="36" xfId="0" applyFont="1" applyFill="1" applyBorder="1"/>
    <xf numFmtId="0" fontId="50" fillId="22" borderId="37" xfId="0" applyFont="1" applyFill="1" applyBorder="1"/>
    <xf numFmtId="0" fontId="24" fillId="10" borderId="9" xfId="0" applyFont="1" applyFill="1" applyBorder="1" applyAlignment="1">
      <alignment horizontal="center"/>
    </xf>
    <xf numFmtId="0" fontId="50" fillId="21" borderId="24" xfId="0" applyFont="1" applyFill="1" applyBorder="1" applyAlignment="1">
      <alignment horizontal="center"/>
    </xf>
    <xf numFmtId="0" fontId="0" fillId="0" borderId="0" xfId="0" applyAlignment="1">
      <alignment horizontal="center"/>
    </xf>
    <xf numFmtId="169" fontId="71" fillId="21" borderId="4" xfId="18" applyNumberFormat="1" applyFont="1" applyFill="1" applyBorder="1" applyAlignment="1">
      <alignment horizontal="center"/>
    </xf>
    <xf numFmtId="169" fontId="71" fillId="21" borderId="10" xfId="18" applyNumberFormat="1" applyFont="1" applyFill="1" applyBorder="1" applyAlignment="1">
      <alignment horizontal="center"/>
    </xf>
    <xf numFmtId="14" fontId="71" fillId="21" borderId="4" xfId="18" applyNumberFormat="1" applyFont="1" applyFill="1" applyBorder="1" applyAlignment="1">
      <alignment horizontal="center"/>
    </xf>
    <xf numFmtId="0" fontId="71" fillId="21" borderId="10" xfId="18" applyFont="1" applyFill="1" applyBorder="1" applyAlignment="1">
      <alignment horizontal="center"/>
    </xf>
    <xf numFmtId="0" fontId="12" fillId="0" borderId="0" xfId="18" applyFont="1" applyAlignment="1">
      <alignment horizontal="left"/>
    </xf>
    <xf numFmtId="0" fontId="12" fillId="0" borderId="0" xfId="18" applyFont="1" applyAlignment="1">
      <alignment horizontal="center"/>
    </xf>
    <xf numFmtId="0" fontId="69" fillId="21" borderId="11" xfId="0" applyFont="1" applyFill="1" applyBorder="1" applyAlignment="1">
      <alignment horizontal="center"/>
    </xf>
    <xf numFmtId="0" fontId="69" fillId="21" borderId="19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10" fontId="20" fillId="0" borderId="3" xfId="0" applyNumberFormat="1" applyFont="1" applyBorder="1" applyAlignment="1">
      <alignment horizontal="center"/>
    </xf>
    <xf numFmtId="0" fontId="69" fillId="21" borderId="3" xfId="0" applyFont="1" applyFill="1" applyBorder="1" applyAlignment="1">
      <alignment horizontal="center"/>
    </xf>
    <xf numFmtId="0" fontId="69" fillId="21" borderId="22" xfId="0" applyFont="1" applyFill="1" applyBorder="1" applyAlignment="1">
      <alignment horizontal="center"/>
    </xf>
    <xf numFmtId="0" fontId="70" fillId="21" borderId="11" xfId="0" applyFont="1" applyFill="1" applyBorder="1" applyAlignment="1">
      <alignment horizontal="center"/>
    </xf>
    <xf numFmtId="0" fontId="70" fillId="21" borderId="19" xfId="0" applyFont="1" applyFill="1" applyBorder="1" applyAlignment="1">
      <alignment horizontal="center"/>
    </xf>
    <xf numFmtId="0" fontId="19" fillId="4" borderId="0" xfId="5" applyFont="1" applyFill="1" applyAlignment="1">
      <alignment horizontal="center"/>
    </xf>
    <xf numFmtId="0" fontId="50" fillId="21" borderId="14" xfId="5" applyFont="1" applyFill="1" applyBorder="1" applyAlignment="1">
      <alignment horizontal="center" vertical="center"/>
    </xf>
    <xf numFmtId="0" fontId="50" fillId="21" borderId="15" xfId="5" applyFont="1" applyFill="1" applyBorder="1" applyAlignment="1">
      <alignment horizontal="center" vertical="center"/>
    </xf>
    <xf numFmtId="0" fontId="50" fillId="21" borderId="14" xfId="5" applyFont="1" applyFill="1" applyBorder="1" applyAlignment="1">
      <alignment horizontal="center" vertical="center" wrapText="1"/>
    </xf>
    <xf numFmtId="0" fontId="50" fillId="21" borderId="15" xfId="5" applyFont="1" applyFill="1" applyBorder="1" applyAlignment="1">
      <alignment horizontal="center" vertical="center" wrapText="1"/>
    </xf>
    <xf numFmtId="0" fontId="60" fillId="21" borderId="63" xfId="0" applyFont="1" applyFill="1" applyBorder="1" applyAlignment="1">
      <alignment horizontal="center"/>
    </xf>
    <xf numFmtId="0" fontId="60" fillId="21" borderId="64" xfId="0" applyFont="1" applyFill="1" applyBorder="1" applyAlignment="1">
      <alignment horizontal="center"/>
    </xf>
    <xf numFmtId="0" fontId="60" fillId="21" borderId="65" xfId="0" applyFont="1" applyFill="1" applyBorder="1" applyAlignment="1">
      <alignment horizontal="center"/>
    </xf>
    <xf numFmtId="0" fontId="36" fillId="0" borderId="66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67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60" fillId="21" borderId="12" xfId="0" applyFont="1" applyFill="1" applyBorder="1" applyAlignment="1">
      <alignment horizontal="center"/>
    </xf>
    <xf numFmtId="0" fontId="60" fillId="21" borderId="14" xfId="0" applyFont="1" applyFill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60" fillId="21" borderId="52" xfId="0" applyFont="1" applyFill="1" applyBorder="1" applyAlignment="1">
      <alignment horizontal="center"/>
    </xf>
    <xf numFmtId="0" fontId="60" fillId="21" borderId="53" xfId="0" applyFont="1" applyFill="1" applyBorder="1" applyAlignment="1">
      <alignment horizontal="center"/>
    </xf>
    <xf numFmtId="0" fontId="60" fillId="21" borderId="54" xfId="0" applyFont="1" applyFill="1" applyBorder="1" applyAlignment="1">
      <alignment horizontal="center"/>
    </xf>
    <xf numFmtId="0" fontId="36" fillId="0" borderId="55" xfId="0" applyFont="1" applyBorder="1" applyAlignment="1">
      <alignment horizontal="center"/>
    </xf>
    <xf numFmtId="0" fontId="36" fillId="0" borderId="56" xfId="0" applyFont="1" applyBorder="1" applyAlignment="1">
      <alignment horizontal="center"/>
    </xf>
    <xf numFmtId="0" fontId="60" fillId="21" borderId="57" xfId="0" applyFont="1" applyFill="1" applyBorder="1" applyAlignment="1">
      <alignment horizontal="center"/>
    </xf>
    <xf numFmtId="0" fontId="60" fillId="21" borderId="58" xfId="0" applyFont="1" applyFill="1" applyBorder="1" applyAlignment="1">
      <alignment horizontal="center"/>
    </xf>
    <xf numFmtId="0" fontId="60" fillId="21" borderId="55" xfId="0" applyFont="1" applyFill="1" applyBorder="1" applyAlignment="1">
      <alignment horizontal="center"/>
    </xf>
    <xf numFmtId="0" fontId="60" fillId="21" borderId="0" xfId="0" applyFont="1" applyFill="1" applyAlignment="1">
      <alignment horizontal="center"/>
    </xf>
    <xf numFmtId="0" fontId="60" fillId="21" borderId="59" xfId="0" applyFont="1" applyFill="1" applyBorder="1" applyAlignment="1">
      <alignment horizontal="center"/>
    </xf>
    <xf numFmtId="0" fontId="60" fillId="21" borderId="27" xfId="0" applyFont="1" applyFill="1" applyBorder="1" applyAlignment="1">
      <alignment horizontal="center"/>
    </xf>
    <xf numFmtId="0" fontId="60" fillId="21" borderId="7" xfId="0" applyFont="1" applyFill="1" applyBorder="1" applyAlignment="1">
      <alignment horizontal="center"/>
    </xf>
    <xf numFmtId="0" fontId="49" fillId="0" borderId="8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9" fillId="0" borderId="9" xfId="0" applyFont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39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49" fillId="0" borderId="10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18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44" fontId="0" fillId="0" borderId="18" xfId="0" applyNumberFormat="1" applyBorder="1" applyAlignment="1">
      <alignment horizontal="center"/>
    </xf>
    <xf numFmtId="44" fontId="0" fillId="0" borderId="47" xfId="0" applyNumberFormat="1" applyBorder="1" applyAlignment="1">
      <alignment horizontal="center"/>
    </xf>
    <xf numFmtId="44" fontId="51" fillId="0" borderId="4" xfId="2" applyFont="1" applyBorder="1" applyAlignment="1">
      <alignment horizontal="center"/>
    </xf>
    <xf numFmtId="44" fontId="51" fillId="0" borderId="39" xfId="2" applyFont="1" applyBorder="1" applyAlignment="1">
      <alignment horizontal="center"/>
    </xf>
    <xf numFmtId="178" fontId="0" fillId="0" borderId="4" xfId="0" applyNumberFormat="1" applyBorder="1" applyAlignment="1">
      <alignment horizontal="center"/>
    </xf>
    <xf numFmtId="178" fontId="0" fillId="0" borderId="39" xfId="0" applyNumberFormat="1" applyBorder="1" applyAlignment="1">
      <alignment horizontal="center"/>
    </xf>
    <xf numFmtId="0" fontId="3" fillId="0" borderId="9" xfId="20" applyBorder="1" applyAlignment="1">
      <alignment horizontal="center"/>
    </xf>
    <xf numFmtId="44" fontId="0" fillId="0" borderId="9" xfId="21" applyFont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2" fillId="0" borderId="21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3" fillId="0" borderId="4" xfId="0" applyFont="1" applyFill="1" applyBorder="1"/>
    <xf numFmtId="0" fontId="13" fillId="0" borderId="3" xfId="0" applyFont="1" applyFill="1" applyBorder="1"/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" xfId="0" applyFont="1" applyBorder="1" applyAlignment="1">
      <alignment horizontal="center"/>
    </xf>
  </cellXfs>
  <cellStyles count="22">
    <cellStyle name="Euro" xfId="4" xr:uid="{B5F454ED-4AAB-5147-8DD0-28D9C572ACCD}"/>
    <cellStyle name="Millares" xfId="1" builtinId="3"/>
    <cellStyle name="Millares 2" xfId="11" xr:uid="{A2047557-4566-4644-882A-73616D576332}"/>
    <cellStyle name="Millares 3" xfId="17" xr:uid="{F3013946-A3CF-4EF3-B378-63EFB3E1B859}"/>
    <cellStyle name="Moneda" xfId="2" builtinId="4"/>
    <cellStyle name="Moneda 2" xfId="15" xr:uid="{E7EAF97A-80DC-48BE-AA0B-6D54C971165C}"/>
    <cellStyle name="Moneda 3" xfId="6" xr:uid="{469CE868-AFB8-B64F-9A15-5D7A69354C13}"/>
    <cellStyle name="Moneda 4" xfId="21" xr:uid="{CF7C97E3-2F59-4AE7-863C-442C8B7E6954}"/>
    <cellStyle name="Normal" xfId="0" builtinId="0"/>
    <cellStyle name="Normal 2" xfId="9" xr:uid="{763A6ABD-5A05-4036-AB2C-29DB572C7397}"/>
    <cellStyle name="Normal 3" xfId="13" xr:uid="{8D614AE8-ABF5-40AD-BD3A-8DCFB94125DB}"/>
    <cellStyle name="Normal 4" xfId="5" xr:uid="{D00E32DD-5009-1D45-AE5D-7D540430E9EF}"/>
    <cellStyle name="Normal 4 2" xfId="8" xr:uid="{1147B18A-4917-4E2B-95CF-F43B8A9D2349}"/>
    <cellStyle name="Normal 4 3" xfId="12" xr:uid="{3D905BDB-7583-4336-A9C8-6FC0EB8748C5}"/>
    <cellStyle name="Normal 5" xfId="14" xr:uid="{A95706EC-0656-4C87-9340-0998BA492609}"/>
    <cellStyle name="Normal 6" xfId="18" xr:uid="{8BB20218-6754-41A1-A31B-CC5CE0EE35CF}"/>
    <cellStyle name="Normal 7" xfId="20" xr:uid="{F6CA1C04-E57A-48B2-8BBA-DA98B5B140D6}"/>
    <cellStyle name="Porcentaje" xfId="3" builtinId="5"/>
    <cellStyle name="Porcentaje 2" xfId="7" xr:uid="{62F347DC-5114-F54D-94D4-3665E6FBC8E1}"/>
    <cellStyle name="Porcentaje 3" xfId="10" xr:uid="{85AB7C4C-9513-4162-A9B4-228D2EF0CE80}"/>
    <cellStyle name="Porcentaje 4" xfId="16" xr:uid="{73B51159-D114-4605-BE97-EE0526CD7405}"/>
    <cellStyle name="Porcentaje 5" xfId="19" xr:uid="{B973A4CF-719D-4DAE-A2AD-9422784284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Punto</a:t>
            </a:r>
            <a:r>
              <a:rPr lang="es-MX" baseline="0"/>
              <a:t> de Equilibrio anual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DE EQUILIBRIO'!$A$22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'PUNTO DE EQUILIBRIO'!$B$21:$AF$21</c:f>
              <c:numCache>
                <c:formatCode>General</c:formatCode>
                <c:ptCount val="3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</c:numCache>
            </c:numRef>
          </c:cat>
          <c:val>
            <c:numRef>
              <c:f>'PUNTO DE EQUILIBRIO'!$B$22:$AF$22</c:f>
              <c:numCache>
                <c:formatCode>_("$"* #,##0.00_);_("$"* \(#,##0.00\);_("$"* "-"??_);_(@_)</c:formatCode>
                <c:ptCount val="31"/>
                <c:pt idx="0">
                  <c:v>0</c:v>
                </c:pt>
                <c:pt idx="1">
                  <c:v>1135000</c:v>
                </c:pt>
                <c:pt idx="2">
                  <c:v>2270000</c:v>
                </c:pt>
                <c:pt idx="3">
                  <c:v>3405000</c:v>
                </c:pt>
                <c:pt idx="4">
                  <c:v>4540000</c:v>
                </c:pt>
                <c:pt idx="5">
                  <c:v>5675000</c:v>
                </c:pt>
                <c:pt idx="6">
                  <c:v>6810000</c:v>
                </c:pt>
                <c:pt idx="7">
                  <c:v>7945000</c:v>
                </c:pt>
                <c:pt idx="8">
                  <c:v>9080000</c:v>
                </c:pt>
                <c:pt idx="9">
                  <c:v>10215000</c:v>
                </c:pt>
                <c:pt idx="10">
                  <c:v>11350000</c:v>
                </c:pt>
                <c:pt idx="11">
                  <c:v>12485000</c:v>
                </c:pt>
                <c:pt idx="12">
                  <c:v>13620000</c:v>
                </c:pt>
                <c:pt idx="13">
                  <c:v>14755000</c:v>
                </c:pt>
                <c:pt idx="14">
                  <c:v>15890000</c:v>
                </c:pt>
                <c:pt idx="15">
                  <c:v>17025000</c:v>
                </c:pt>
                <c:pt idx="16">
                  <c:v>18160000</c:v>
                </c:pt>
                <c:pt idx="17">
                  <c:v>19295000</c:v>
                </c:pt>
                <c:pt idx="18">
                  <c:v>20430000</c:v>
                </c:pt>
                <c:pt idx="19">
                  <c:v>21565000</c:v>
                </c:pt>
                <c:pt idx="20">
                  <c:v>22700000</c:v>
                </c:pt>
                <c:pt idx="21">
                  <c:v>23835000</c:v>
                </c:pt>
                <c:pt idx="22">
                  <c:v>24970000</c:v>
                </c:pt>
                <c:pt idx="23">
                  <c:v>26105000</c:v>
                </c:pt>
                <c:pt idx="24">
                  <c:v>27240000</c:v>
                </c:pt>
                <c:pt idx="25">
                  <c:v>28375000</c:v>
                </c:pt>
                <c:pt idx="26">
                  <c:v>29510000</c:v>
                </c:pt>
                <c:pt idx="27">
                  <c:v>30645000</c:v>
                </c:pt>
                <c:pt idx="28">
                  <c:v>31780000</c:v>
                </c:pt>
                <c:pt idx="29">
                  <c:v>32915000</c:v>
                </c:pt>
                <c:pt idx="30">
                  <c:v>34050000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E-472E-8329-84D76BA84249}"/>
            </c:ext>
          </c:extLst>
        </c:ser>
        <c:ser>
          <c:idx val="1"/>
          <c:order val="1"/>
          <c:tx>
            <c:strRef>
              <c:f>'PUNTO DE EQUILIBRIO'!$A$23</c:f>
              <c:strCache>
                <c:ptCount val="1"/>
                <c:pt idx="0">
                  <c:v>COSTOS VARIABLE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'PUNTO DE EQUILIBRIO'!$B$21:$AF$21</c:f>
              <c:numCache>
                <c:formatCode>General</c:formatCode>
                <c:ptCount val="3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</c:numCache>
            </c:numRef>
          </c:cat>
          <c:val>
            <c:numRef>
              <c:f>'PUNTO DE EQUILIBRIO'!$B$23:$AF$23</c:f>
              <c:numCache>
                <c:formatCode>_("$"* #,##0.00_);_("$"* \(#,##0.00\);_("$"* "-"??_);_(@_)</c:formatCode>
                <c:ptCount val="31"/>
                <c:pt idx="0">
                  <c:v>0</c:v>
                </c:pt>
                <c:pt idx="1">
                  <c:v>685900</c:v>
                </c:pt>
                <c:pt idx="2">
                  <c:v>1371800</c:v>
                </c:pt>
                <c:pt idx="3">
                  <c:v>2057700</c:v>
                </c:pt>
                <c:pt idx="4">
                  <c:v>2743600</c:v>
                </c:pt>
                <c:pt idx="5">
                  <c:v>3429500</c:v>
                </c:pt>
                <c:pt idx="6">
                  <c:v>4115400</c:v>
                </c:pt>
                <c:pt idx="7">
                  <c:v>4801300</c:v>
                </c:pt>
                <c:pt idx="8">
                  <c:v>5487200</c:v>
                </c:pt>
                <c:pt idx="9">
                  <c:v>6173100</c:v>
                </c:pt>
                <c:pt idx="10">
                  <c:v>6859000</c:v>
                </c:pt>
                <c:pt idx="11">
                  <c:v>7544900</c:v>
                </c:pt>
                <c:pt idx="12">
                  <c:v>8230800</c:v>
                </c:pt>
                <c:pt idx="13">
                  <c:v>8916700</c:v>
                </c:pt>
                <c:pt idx="14">
                  <c:v>9602600</c:v>
                </c:pt>
                <c:pt idx="15">
                  <c:v>10288500</c:v>
                </c:pt>
                <c:pt idx="16">
                  <c:v>10974400</c:v>
                </c:pt>
                <c:pt idx="17">
                  <c:v>11660300</c:v>
                </c:pt>
                <c:pt idx="18">
                  <c:v>12346200</c:v>
                </c:pt>
                <c:pt idx="19">
                  <c:v>13032100</c:v>
                </c:pt>
                <c:pt idx="20">
                  <c:v>13718000</c:v>
                </c:pt>
                <c:pt idx="21">
                  <c:v>14403900</c:v>
                </c:pt>
                <c:pt idx="22">
                  <c:v>15089800</c:v>
                </c:pt>
                <c:pt idx="23">
                  <c:v>15775700</c:v>
                </c:pt>
                <c:pt idx="24">
                  <c:v>16461600</c:v>
                </c:pt>
                <c:pt idx="25">
                  <c:v>17147500</c:v>
                </c:pt>
                <c:pt idx="26">
                  <c:v>17833400</c:v>
                </c:pt>
                <c:pt idx="27">
                  <c:v>18519300</c:v>
                </c:pt>
                <c:pt idx="28">
                  <c:v>19205200</c:v>
                </c:pt>
                <c:pt idx="29">
                  <c:v>19891100</c:v>
                </c:pt>
                <c:pt idx="30">
                  <c:v>20577000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E-472E-8329-84D76BA84249}"/>
            </c:ext>
          </c:extLst>
        </c:ser>
        <c:ser>
          <c:idx val="3"/>
          <c:order val="2"/>
          <c:tx>
            <c:strRef>
              <c:f>'PUNTO DE EQUILIBRIO'!$A$25</c:f>
              <c:strCache>
                <c:ptCount val="1"/>
                <c:pt idx="0">
                  <c:v>COSTOS FIJO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'PUNTO DE EQUILIBRIO'!$B$21:$AF$21</c:f>
              <c:numCache>
                <c:formatCode>General</c:formatCode>
                <c:ptCount val="3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</c:numCache>
            </c:numRef>
          </c:cat>
          <c:val>
            <c:numRef>
              <c:f>'PUNTO DE EQUILIBRIO'!$B$25:$AF$25</c:f>
              <c:numCache>
                <c:formatCode>_("$"* #,##0.00_);_("$"* \(#,##0.00\);_("$"* "-"??_);_(@_)</c:formatCode>
                <c:ptCount val="31"/>
                <c:pt idx="0">
                  <c:v>3074192.72605325</c:v>
                </c:pt>
                <c:pt idx="1">
                  <c:v>3074192.72605325</c:v>
                </c:pt>
                <c:pt idx="2">
                  <c:v>3074192.72605325</c:v>
                </c:pt>
                <c:pt idx="3">
                  <c:v>3074192.72605325</c:v>
                </c:pt>
                <c:pt idx="4">
                  <c:v>3074192.72605325</c:v>
                </c:pt>
                <c:pt idx="5">
                  <c:v>3074192.72605325</c:v>
                </c:pt>
                <c:pt idx="6">
                  <c:v>3074192.72605325</c:v>
                </c:pt>
                <c:pt idx="7">
                  <c:v>3074192.72605325</c:v>
                </c:pt>
                <c:pt idx="8">
                  <c:v>3074192.72605325</c:v>
                </c:pt>
                <c:pt idx="9">
                  <c:v>3074192.72605325</c:v>
                </c:pt>
                <c:pt idx="10">
                  <c:v>3074192.72605325</c:v>
                </c:pt>
                <c:pt idx="11">
                  <c:v>3074192.72605325</c:v>
                </c:pt>
                <c:pt idx="12">
                  <c:v>3074192.72605325</c:v>
                </c:pt>
                <c:pt idx="13">
                  <c:v>3074192.72605325</c:v>
                </c:pt>
                <c:pt idx="14">
                  <c:v>3074192.72605325</c:v>
                </c:pt>
                <c:pt idx="15">
                  <c:v>3074192.72605325</c:v>
                </c:pt>
                <c:pt idx="16">
                  <c:v>3074192.72605325</c:v>
                </c:pt>
                <c:pt idx="17">
                  <c:v>3074192.72605325</c:v>
                </c:pt>
                <c:pt idx="18">
                  <c:v>3074192.72605325</c:v>
                </c:pt>
                <c:pt idx="19">
                  <c:v>3074192.72605325</c:v>
                </c:pt>
                <c:pt idx="20">
                  <c:v>3074192.72605325</c:v>
                </c:pt>
                <c:pt idx="21">
                  <c:v>3074192.72605325</c:v>
                </c:pt>
                <c:pt idx="22">
                  <c:v>3074192.72605325</c:v>
                </c:pt>
                <c:pt idx="23">
                  <c:v>3074192.72605325</c:v>
                </c:pt>
                <c:pt idx="24">
                  <c:v>3074192.72605325</c:v>
                </c:pt>
                <c:pt idx="25">
                  <c:v>3074192.72605325</c:v>
                </c:pt>
                <c:pt idx="26">
                  <c:v>3074192.72605325</c:v>
                </c:pt>
                <c:pt idx="27">
                  <c:v>3074192.72605325</c:v>
                </c:pt>
                <c:pt idx="28">
                  <c:v>3074192.72605325</c:v>
                </c:pt>
                <c:pt idx="29">
                  <c:v>3074192.72605325</c:v>
                </c:pt>
                <c:pt idx="30">
                  <c:v>3074192.72605325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AE-472E-8329-84D76BA84249}"/>
            </c:ext>
          </c:extLst>
        </c:ser>
        <c:ser>
          <c:idx val="4"/>
          <c:order val="3"/>
          <c:tx>
            <c:strRef>
              <c:f>'PUNTO DE EQUILIBRIO'!$A$26</c:f>
              <c:strCache>
                <c:ptCount val="1"/>
                <c:pt idx="0">
                  <c:v>COSTOS TOTALES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circle"/>
              <c:size val="5"/>
              <c:spPr>
                <a:noFill/>
                <a:ln w="12700">
                  <a:solidFill>
                    <a:schemeClr val="bg1">
                      <a:alpha val="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8AE-472E-8329-84D76BA84249}"/>
              </c:ext>
            </c:extLst>
          </c:dPt>
          <c:cat>
            <c:numRef>
              <c:f>'PUNTO DE EQUILIBRIO'!$B$21:$AF$21</c:f>
              <c:numCache>
                <c:formatCode>General</c:formatCode>
                <c:ptCount val="3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</c:numCache>
            </c:numRef>
          </c:cat>
          <c:val>
            <c:numRef>
              <c:f>'PUNTO DE EQUILIBRIO'!$B$26:$AF$26</c:f>
              <c:numCache>
                <c:formatCode>_("$"* #,##0.00_);_("$"* \(#,##0.00\);_("$"* "-"??_);_(@_)</c:formatCode>
                <c:ptCount val="31"/>
                <c:pt idx="0">
                  <c:v>3074192.72605325</c:v>
                </c:pt>
                <c:pt idx="1">
                  <c:v>3760092.72605325</c:v>
                </c:pt>
                <c:pt idx="2">
                  <c:v>4445992.72605325</c:v>
                </c:pt>
                <c:pt idx="3">
                  <c:v>5131892.72605325</c:v>
                </c:pt>
                <c:pt idx="4">
                  <c:v>5817792.72605325</c:v>
                </c:pt>
                <c:pt idx="5">
                  <c:v>6503692.72605325</c:v>
                </c:pt>
                <c:pt idx="6">
                  <c:v>7189592.72605325</c:v>
                </c:pt>
                <c:pt idx="7">
                  <c:v>7875492.72605325</c:v>
                </c:pt>
                <c:pt idx="8">
                  <c:v>8561392.7260532491</c:v>
                </c:pt>
                <c:pt idx="9">
                  <c:v>9247292.7260532491</c:v>
                </c:pt>
                <c:pt idx="10">
                  <c:v>9933192.7260532491</c:v>
                </c:pt>
                <c:pt idx="11">
                  <c:v>10619092.726053249</c:v>
                </c:pt>
                <c:pt idx="12">
                  <c:v>11304992.726053249</c:v>
                </c:pt>
                <c:pt idx="13">
                  <c:v>11990892.726053249</c:v>
                </c:pt>
                <c:pt idx="14">
                  <c:v>12676792.726053249</c:v>
                </c:pt>
                <c:pt idx="15">
                  <c:v>13362692.726053249</c:v>
                </c:pt>
                <c:pt idx="16">
                  <c:v>14048592.726053249</c:v>
                </c:pt>
                <c:pt idx="17">
                  <c:v>14734492.726053249</c:v>
                </c:pt>
                <c:pt idx="18">
                  <c:v>15420392.726053249</c:v>
                </c:pt>
                <c:pt idx="19">
                  <c:v>16106292.726053249</c:v>
                </c:pt>
                <c:pt idx="20">
                  <c:v>16792192.726053249</c:v>
                </c:pt>
                <c:pt idx="21">
                  <c:v>17478092.726053249</c:v>
                </c:pt>
                <c:pt idx="22">
                  <c:v>18163992.726053249</c:v>
                </c:pt>
                <c:pt idx="23">
                  <c:v>18849892.726053249</c:v>
                </c:pt>
                <c:pt idx="24">
                  <c:v>19535792.726053249</c:v>
                </c:pt>
                <c:pt idx="25">
                  <c:v>20221692.726053249</c:v>
                </c:pt>
                <c:pt idx="26">
                  <c:v>20907592.726053249</c:v>
                </c:pt>
                <c:pt idx="27">
                  <c:v>21593492.726053249</c:v>
                </c:pt>
                <c:pt idx="28">
                  <c:v>22279392.726053249</c:v>
                </c:pt>
                <c:pt idx="29">
                  <c:v>22965292.726053249</c:v>
                </c:pt>
                <c:pt idx="30">
                  <c:v>23651192.726053249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AE-472E-8329-84D76BA84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283519"/>
        <c:axId val="1864281599"/>
      </c:lineChart>
      <c:catAx>
        <c:axId val="186428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4281599"/>
        <c:crosses val="autoZero"/>
        <c:auto val="1"/>
        <c:lblAlgn val="ctr"/>
        <c:lblOffset val="100"/>
        <c:noMultiLvlLbl val="0"/>
      </c:catAx>
      <c:valAx>
        <c:axId val="18642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428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7</xdr:row>
      <xdr:rowOff>1</xdr:rowOff>
    </xdr:from>
    <xdr:ext cx="5181600" cy="609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43E829E2-82DD-4683-8692-DD1855E410CE}"/>
            </a:ext>
          </a:extLst>
        </xdr:cNvPr>
        <xdr:cNvSpPr txBox="1"/>
      </xdr:nvSpPr>
      <xdr:spPr>
        <a:xfrm>
          <a:off x="8963025" y="1381126"/>
          <a:ext cx="5181600" cy="6096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 ventas necesarias para que la empresa opere sin pérdidas ni ganancias, debe ser de 5543</a:t>
          </a:r>
          <a:r>
            <a:rPr lang="en-US" sz="110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UNIDADES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si las ventas del negocio están por debajo de esta cantidad la empresa pierde y por arriba de la cifra mencionada son utilidades para la empresa.</a:t>
          </a:r>
          <a:endParaRPr sz="1100" i="1"/>
        </a:p>
      </xdr:txBody>
    </xdr:sp>
    <xdr:clientData fLocksWithSheet="0"/>
  </xdr:oneCellAnchor>
  <xdr:oneCellAnchor>
    <xdr:from>
      <xdr:col>11</xdr:col>
      <xdr:colOff>28575</xdr:colOff>
      <xdr:row>4</xdr:row>
      <xdr:rowOff>76200</xdr:rowOff>
    </xdr:from>
    <xdr:ext cx="1981200" cy="419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A63CC55B-6EB5-4B16-887A-DE221CCAA9B3}"/>
            </a:ext>
          </a:extLst>
        </xdr:cNvPr>
        <xdr:cNvSpPr/>
      </xdr:nvSpPr>
      <xdr:spPr>
        <a:xfrm>
          <a:off x="10610850" y="838200"/>
          <a:ext cx="1981200" cy="419100"/>
        </a:xfrm>
        <a:prstGeom prst="roundRect">
          <a:avLst>
            <a:gd name="adj" fmla="val 16667"/>
          </a:avLst>
        </a:prstGeom>
        <a:solidFill>
          <a:srgbClr val="FFFF00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INTERPRETACIÓN</a:t>
          </a:r>
          <a:endParaRPr sz="1400"/>
        </a:p>
      </xdr:txBody>
    </xdr:sp>
    <xdr:clientData fLocksWithSheet="0"/>
  </xdr:oneCellAnchor>
  <xdr:twoCellAnchor>
    <xdr:from>
      <xdr:col>2</xdr:col>
      <xdr:colOff>33337</xdr:colOff>
      <xdr:row>27</xdr:row>
      <xdr:rowOff>19049</xdr:rowOff>
    </xdr:from>
    <xdr:to>
      <xdr:col>13</xdr:col>
      <xdr:colOff>811695</xdr:colOff>
      <xdr:row>44</xdr:row>
      <xdr:rowOff>38099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867B809-F4CE-F7F8-6856-09F600707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734179</xdr:colOff>
      <xdr:row>34</xdr:row>
      <xdr:rowOff>153139</xdr:rowOff>
    </xdr:from>
    <xdr:ext cx="849557" cy="601708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FA75CE94-9273-4983-8FBF-D442B2D662AF}"/>
            </a:ext>
          </a:extLst>
        </xdr:cNvPr>
        <xdr:cNvSpPr txBox="1"/>
      </xdr:nvSpPr>
      <xdr:spPr>
        <a:xfrm>
          <a:off x="6074748" y="6787794"/>
          <a:ext cx="849557" cy="601708"/>
        </a:xfrm>
        <a:prstGeom prst="rect">
          <a:avLst/>
        </a:prstGeom>
        <a:solidFill>
          <a:schemeClr val="dk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MX" sz="800">
              <a:solidFill>
                <a:schemeClr val="lt1"/>
              </a:solidFill>
            </a:rPr>
            <a:t>PE</a:t>
          </a:r>
          <a:br>
            <a:rPr lang="es-MX" sz="800">
              <a:solidFill>
                <a:schemeClr val="lt1"/>
              </a:solidFill>
            </a:rPr>
          </a:br>
          <a:r>
            <a:rPr lang="es-MX" sz="800">
              <a:solidFill>
                <a:schemeClr val="lt1"/>
              </a:solidFill>
            </a:rPr>
            <a:t>6845 UNIDADES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MX" sz="800">
              <a:solidFill>
                <a:schemeClr val="lt1"/>
              </a:solidFill>
            </a:rPr>
            <a:t>$7,769,335.88</a:t>
          </a:r>
          <a:endParaRPr sz="800">
            <a:solidFill>
              <a:schemeClr val="lt1"/>
            </a:solidFill>
          </a:endParaRPr>
        </a:p>
      </xdr:txBody>
    </xdr:sp>
    <xdr:clientData fLocksWithSheet="0"/>
  </xdr:oneCellAnchor>
  <xdr:twoCellAnchor>
    <xdr:from>
      <xdr:col>5</xdr:col>
      <xdr:colOff>38561</xdr:colOff>
      <xdr:row>37</xdr:row>
      <xdr:rowOff>147628</xdr:rowOff>
    </xdr:from>
    <xdr:to>
      <xdr:col>5</xdr:col>
      <xdr:colOff>42234</xdr:colOff>
      <xdr:row>38</xdr:row>
      <xdr:rowOff>124443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FD85D1F1-4BB8-E3B9-DF63-88BE318886B2}"/>
            </a:ext>
          </a:extLst>
        </xdr:cNvPr>
        <xdr:cNvCxnSpPr>
          <a:stCxn id="10" idx="2"/>
        </xdr:cNvCxnSpPr>
      </xdr:nvCxnSpPr>
      <xdr:spPr>
        <a:xfrm flipH="1">
          <a:off x="6495854" y="7373490"/>
          <a:ext cx="3673" cy="173884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0.09419</cdr:x>
      <cdr:y>0.68649</cdr:y>
    </cdr:from>
    <cdr:to>
      <cdr:x>0.09419</cdr:x>
      <cdr:y>0.8261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84428B1C-1133-EFA8-CF4B-4A4A0B2E5C12}"/>
            </a:ext>
          </a:extLst>
        </cdr:cNvPr>
        <cdr:cNvCxnSpPr/>
      </cdr:nvCxnSpPr>
      <cdr:spPr>
        <a:xfrm xmlns:a="http://schemas.openxmlformats.org/drawingml/2006/main">
          <a:off x="1138727" y="2312934"/>
          <a:ext cx="0" cy="470384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0.0927</cdr:x>
      <cdr:y>0.69049</cdr:y>
    </cdr:from>
    <cdr:to>
      <cdr:x>0.29445</cdr:x>
      <cdr:y>0.69049</cdr:y>
    </cdr:to>
    <cdr:cxnSp macro="">
      <cdr:nvCxnSpPr>
        <cdr:cNvPr id="5" name="Conector recto 4">
          <a:extLst xmlns:a="http://schemas.openxmlformats.org/drawingml/2006/main">
            <a:ext uri="{FF2B5EF4-FFF2-40B4-BE49-F238E27FC236}">
              <a16:creationId xmlns:a16="http://schemas.microsoft.com/office/drawing/2014/main" id="{BF239EE3-ACB5-BFAF-71C4-10A07CC0F605}"/>
            </a:ext>
          </a:extLst>
        </cdr:cNvPr>
        <cdr:cNvCxnSpPr/>
      </cdr:nvCxnSpPr>
      <cdr:spPr>
        <a:xfrm xmlns:a="http://schemas.openxmlformats.org/drawingml/2006/main" flipH="1">
          <a:off x="1120788" y="2326408"/>
          <a:ext cx="243909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0.29477</cdr:x>
      <cdr:y>0.68649</cdr:y>
    </cdr:from>
    <cdr:to>
      <cdr:x>0.29477</cdr:x>
      <cdr:y>0.82456</cdr:y>
    </cdr:to>
    <cdr:cxnSp macro="">
      <cdr:nvCxnSpPr>
        <cdr:cNvPr id="14" name="Conector recto 13">
          <a:extLst xmlns:a="http://schemas.openxmlformats.org/drawingml/2006/main">
            <a:ext uri="{FF2B5EF4-FFF2-40B4-BE49-F238E27FC236}">
              <a16:creationId xmlns:a16="http://schemas.microsoft.com/office/drawing/2014/main" id="{5801F044-50BB-1D16-085E-939568932ABB}"/>
            </a:ext>
          </a:extLst>
        </cdr:cNvPr>
        <cdr:cNvCxnSpPr/>
      </cdr:nvCxnSpPr>
      <cdr:spPr>
        <a:xfrm xmlns:a="http://schemas.openxmlformats.org/drawingml/2006/main" flipV="1">
          <a:off x="3563754" y="2312934"/>
          <a:ext cx="0" cy="465195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RAS%20PUBLICAS%202002\EXPEDIENTES-RAMO%2033\ASIGNADAS\ATACPAN%20INDEPENDENCIA%20CONST.%20DE%20SIST.%20DE%20AGUA%20POT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mat\Downloads\Corrida_Financiera_Takirin_equipo05%20REVISI&#211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CUADRO DE INVERSION"/>
      <sheetName val="ESTRUCTURA FINANCIERA"/>
      <sheetName val="CUADRO DE EGRESOS E INGRESOS"/>
      <sheetName val="PUNTO DE EQUILIBRIO"/>
      <sheetName val="M. DE CALCULO DE COSTOS VAR"/>
      <sheetName val="M. DE CALCULO DE GASTOS FIJO"/>
      <sheetName val="COSTOS "/>
      <sheetName val="INGRESOS "/>
      <sheetName val="Desglose de platillos"/>
      <sheetName val="DEPRECIACIONES"/>
      <sheetName val="AMORTIZACIONES"/>
      <sheetName val="SENSIBILIDAD"/>
      <sheetName val="TIR - VAN"/>
      <sheetName val="ESTADO DE RESULTADOS"/>
      <sheetName val="ESTADO DE SITUACIÓN FINANCIERA"/>
      <sheetName val="BALANZA"/>
      <sheetName val="LIBRO MAY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1600-8539-AA47-AEB4-640B716240D4}">
  <dimension ref="C1:M13"/>
  <sheetViews>
    <sheetView topLeftCell="C1" zoomScale="130" zoomScaleNormal="130" zoomScaleSheetLayoutView="100" workbookViewId="0">
      <selection activeCell="C7" sqref="C7:E7"/>
    </sheetView>
  </sheetViews>
  <sheetFormatPr baseColWidth="10" defaultColWidth="9.140625" defaultRowHeight="12.75" x14ac:dyDescent="0.2"/>
  <cols>
    <col min="3" max="3" width="45.28515625" customWidth="1"/>
    <col min="4" max="4" width="6.7109375" customWidth="1"/>
    <col min="5" max="5" width="75.28515625" customWidth="1"/>
  </cols>
  <sheetData>
    <row r="1" spans="3:13" ht="20.25" x14ac:dyDescent="0.3">
      <c r="C1" s="113" t="s">
        <v>0</v>
      </c>
    </row>
    <row r="3" spans="3:13" ht="18" x14ac:dyDescent="0.25">
      <c r="C3" s="39" t="s">
        <v>1</v>
      </c>
    </row>
    <row r="5" spans="3:13" ht="15.75" x14ac:dyDescent="0.25">
      <c r="C5" s="119" t="s">
        <v>2</v>
      </c>
      <c r="D5" s="120">
        <v>0.09</v>
      </c>
      <c r="E5" s="121" t="s">
        <v>3</v>
      </c>
      <c r="F5" s="122"/>
      <c r="G5" s="122"/>
      <c r="H5" s="122"/>
      <c r="I5" s="122"/>
      <c r="J5" s="122"/>
      <c r="K5" s="122"/>
      <c r="L5" s="11"/>
      <c r="M5" s="11"/>
    </row>
    <row r="6" spans="3:13" ht="15.75" x14ac:dyDescent="0.25">
      <c r="C6" s="123" t="s">
        <v>4</v>
      </c>
      <c r="D6" s="124">
        <v>0.12</v>
      </c>
      <c r="E6" s="85" t="s">
        <v>3</v>
      </c>
      <c r="F6" s="122"/>
      <c r="G6" s="122"/>
      <c r="H6" s="122"/>
      <c r="I6" s="122"/>
      <c r="J6" s="122"/>
      <c r="K6" s="122"/>
      <c r="L6" s="11"/>
      <c r="M6" s="11"/>
    </row>
    <row r="7" spans="3:13" ht="15.75" x14ac:dyDescent="0.25">
      <c r="C7" s="123" t="s">
        <v>5</v>
      </c>
      <c r="D7" s="124">
        <v>0.03</v>
      </c>
      <c r="E7" s="85" t="s">
        <v>6</v>
      </c>
      <c r="F7" s="122"/>
      <c r="G7" s="122"/>
      <c r="H7" s="122"/>
      <c r="I7" s="122"/>
      <c r="J7" s="122"/>
      <c r="K7" s="122"/>
      <c r="L7" s="11"/>
      <c r="M7" s="11"/>
    </row>
    <row r="8" spans="3:13" ht="15.75" x14ac:dyDescent="0.25">
      <c r="C8" s="123" t="s">
        <v>7</v>
      </c>
      <c r="D8" s="124">
        <v>0.09</v>
      </c>
      <c r="E8" s="85" t="s">
        <v>8</v>
      </c>
      <c r="F8" s="122"/>
      <c r="G8" s="122"/>
      <c r="H8" s="122"/>
      <c r="I8" s="122"/>
      <c r="J8" s="122"/>
      <c r="K8" s="122"/>
      <c r="L8" s="11"/>
      <c r="M8" s="11"/>
    </row>
    <row r="9" spans="3:13" ht="15" x14ac:dyDescent="0.2">
      <c r="C9" s="123"/>
      <c r="D9" s="85"/>
      <c r="E9" s="85"/>
      <c r="F9" s="11"/>
      <c r="G9" s="11"/>
      <c r="H9" s="11"/>
      <c r="I9" s="11"/>
      <c r="J9" s="11"/>
      <c r="K9" s="11"/>
      <c r="L9" s="11"/>
      <c r="M9" s="11"/>
    </row>
    <row r="10" spans="3:13" ht="15" x14ac:dyDescent="0.2">
      <c r="C10" s="123" t="s">
        <v>9</v>
      </c>
      <c r="D10" s="85"/>
      <c r="E10" s="85" t="s">
        <v>10</v>
      </c>
      <c r="F10" s="11"/>
      <c r="G10" s="11"/>
      <c r="H10" s="11"/>
      <c r="I10" s="11"/>
      <c r="J10" s="11"/>
      <c r="K10" s="11"/>
      <c r="L10" s="11"/>
      <c r="M10" s="11"/>
    </row>
    <row r="11" spans="3:13" ht="15" x14ac:dyDescent="0.2">
      <c r="C11" s="123"/>
      <c r="D11" s="85"/>
      <c r="E11" s="85"/>
    </row>
    <row r="12" spans="3:13" ht="15" x14ac:dyDescent="0.2">
      <c r="C12" s="123" t="s">
        <v>11</v>
      </c>
      <c r="D12" s="85"/>
      <c r="E12" s="85"/>
    </row>
    <row r="13" spans="3:13" ht="15" x14ac:dyDescent="0.2">
      <c r="C13" s="125" t="s">
        <v>12</v>
      </c>
      <c r="D13" s="126"/>
      <c r="E13" s="12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CB52-60B8-4746-B172-F8C81C4E7BA0}">
  <dimension ref="B3:H45"/>
  <sheetViews>
    <sheetView topLeftCell="B16" zoomScale="103" zoomScaleNormal="85" zoomScaleSheetLayoutView="100" workbookViewId="0">
      <selection activeCell="G32" sqref="G32"/>
    </sheetView>
  </sheetViews>
  <sheetFormatPr baseColWidth="10" defaultColWidth="10.7109375" defaultRowHeight="15" x14ac:dyDescent="0.25"/>
  <cols>
    <col min="1" max="1" width="10.7109375" style="189"/>
    <col min="2" max="2" width="39.42578125" style="189" bestFit="1" customWidth="1"/>
    <col min="3" max="3" width="14.7109375" style="189" customWidth="1"/>
    <col min="4" max="4" width="14.5703125" style="189" customWidth="1"/>
    <col min="5" max="5" width="16.28515625" style="189" customWidth="1"/>
    <col min="6" max="6" width="22.140625" style="189" customWidth="1"/>
    <col min="7" max="7" width="14.140625" style="189" bestFit="1" customWidth="1"/>
    <col min="8" max="8" width="12.5703125" style="189" bestFit="1" customWidth="1"/>
    <col min="9" max="16384" width="10.7109375" style="189"/>
  </cols>
  <sheetData>
    <row r="3" spans="2:8" ht="15.75" x14ac:dyDescent="0.25">
      <c r="B3" s="202" t="s">
        <v>350</v>
      </c>
      <c r="C3" s="202"/>
    </row>
    <row r="4" spans="2:8" ht="15.75" x14ac:dyDescent="0.25">
      <c r="B4" s="202"/>
      <c r="C4" s="202"/>
    </row>
    <row r="5" spans="2:8" ht="15.75" x14ac:dyDescent="0.25">
      <c r="B5" s="202"/>
      <c r="C5" s="202"/>
    </row>
    <row r="8" spans="2:8" x14ac:dyDescent="0.25">
      <c r="B8" s="593" t="s">
        <v>62</v>
      </c>
      <c r="C8" s="593" t="s">
        <v>303</v>
      </c>
      <c r="D8" s="593" t="s">
        <v>349</v>
      </c>
      <c r="E8" s="593" t="s">
        <v>26</v>
      </c>
    </row>
    <row r="9" spans="2:8" x14ac:dyDescent="0.25">
      <c r="B9" s="197" t="s">
        <v>302</v>
      </c>
      <c r="C9" s="198">
        <v>0</v>
      </c>
      <c r="D9" s="198">
        <v>0</v>
      </c>
      <c r="E9" s="198">
        <f>SUM(C9:D9)</f>
        <v>0</v>
      </c>
    </row>
    <row r="10" spans="2:8" x14ac:dyDescent="0.25">
      <c r="B10" s="197" t="s">
        <v>278</v>
      </c>
      <c r="C10" s="198">
        <f>G32</f>
        <v>1127676.7100000004</v>
      </c>
      <c r="D10" s="198">
        <f>H32</f>
        <v>820000</v>
      </c>
      <c r="E10" s="198">
        <f>SUM(C10:D10)</f>
        <v>1947676.7100000004</v>
      </c>
    </row>
    <row r="11" spans="2:8" x14ac:dyDescent="0.25">
      <c r="B11" s="197" t="s">
        <v>277</v>
      </c>
      <c r="C11" s="198">
        <f>F37</f>
        <v>312151.50649999996</v>
      </c>
      <c r="D11" s="198">
        <v>0</v>
      </c>
      <c r="E11" s="198">
        <f>SUM(C11:D11)</f>
        <v>312151.50649999996</v>
      </c>
    </row>
    <row r="12" spans="2:8" x14ac:dyDescent="0.25">
      <c r="B12" s="197" t="s">
        <v>276</v>
      </c>
      <c r="C12" s="198">
        <f>SUM(C9:C11)</f>
        <v>1439828.2165000003</v>
      </c>
      <c r="D12" s="198">
        <f>SUM(D9:D11)</f>
        <v>820000</v>
      </c>
      <c r="E12" s="198">
        <f>SUM(E9:E11)</f>
        <v>2259828.2165000006</v>
      </c>
    </row>
    <row r="13" spans="2:8" x14ac:dyDescent="0.25">
      <c r="B13" s="197" t="s">
        <v>128</v>
      </c>
      <c r="C13" s="201">
        <f>C12/E12</f>
        <v>0.63714056050242263</v>
      </c>
      <c r="D13" s="201">
        <f>D12/E12</f>
        <v>0.36285943949757732</v>
      </c>
      <c r="E13" s="200">
        <f>SUM(C13:D13)</f>
        <v>1</v>
      </c>
    </row>
    <row r="16" spans="2:8" x14ac:dyDescent="0.25">
      <c r="B16" s="593" t="s">
        <v>29</v>
      </c>
      <c r="C16" s="601" t="s">
        <v>20</v>
      </c>
      <c r="D16" s="603" t="s">
        <v>295</v>
      </c>
      <c r="E16" s="603" t="s">
        <v>22</v>
      </c>
      <c r="F16" s="603" t="s">
        <v>26</v>
      </c>
      <c r="G16" s="603" t="s">
        <v>303</v>
      </c>
      <c r="H16" s="605" t="s">
        <v>349</v>
      </c>
    </row>
    <row r="17" spans="2:8" x14ac:dyDescent="0.25">
      <c r="B17" s="594" t="s">
        <v>30</v>
      </c>
      <c r="C17" s="602"/>
      <c r="D17" s="604"/>
      <c r="E17" s="604"/>
      <c r="F17" s="604"/>
      <c r="G17" s="604"/>
      <c r="H17" s="606"/>
    </row>
    <row r="18" spans="2:8" x14ac:dyDescent="0.25">
      <c r="B18" s="197" t="s">
        <v>301</v>
      </c>
      <c r="C18" s="197">
        <v>1</v>
      </c>
      <c r="D18" s="197" t="s">
        <v>295</v>
      </c>
      <c r="E18" s="281">
        <v>604576.31999999995</v>
      </c>
      <c r="F18" s="281">
        <f>C18*E18</f>
        <v>604576.31999999995</v>
      </c>
      <c r="G18" s="214">
        <v>604576.32000000007</v>
      </c>
      <c r="H18" s="281"/>
    </row>
    <row r="19" spans="2:8" x14ac:dyDescent="0.25">
      <c r="B19" s="197" t="s">
        <v>300</v>
      </c>
      <c r="C19" s="197">
        <v>1</v>
      </c>
      <c r="D19" s="197" t="s">
        <v>299</v>
      </c>
      <c r="E19" s="281">
        <v>820000</v>
      </c>
      <c r="F19" s="281">
        <f>C19*E19</f>
        <v>820000</v>
      </c>
      <c r="G19" s="281"/>
      <c r="H19" s="281">
        <f>F19</f>
        <v>820000</v>
      </c>
    </row>
    <row r="20" spans="2:8" x14ac:dyDescent="0.25">
      <c r="B20" s="197" t="s">
        <v>298</v>
      </c>
      <c r="C20" s="197">
        <v>2</v>
      </c>
      <c r="D20" s="197" t="s">
        <v>287</v>
      </c>
      <c r="E20" s="281">
        <v>59908.160000000003</v>
      </c>
      <c r="F20" s="281">
        <f>C20*E20</f>
        <v>119816.32000000001</v>
      </c>
      <c r="G20" s="281">
        <f>F20</f>
        <v>119816.32000000001</v>
      </c>
      <c r="H20" s="197"/>
    </row>
    <row r="21" spans="2:8" x14ac:dyDescent="0.25">
      <c r="B21" s="197" t="s">
        <v>297</v>
      </c>
      <c r="C21" s="197">
        <v>2</v>
      </c>
      <c r="D21" s="197" t="s">
        <v>287</v>
      </c>
      <c r="E21" s="281">
        <v>42380</v>
      </c>
      <c r="F21" s="281">
        <f>C21*E21</f>
        <v>84760</v>
      </c>
      <c r="G21" s="281">
        <f t="shared" ref="G21:G31" si="0">F21</f>
        <v>84760</v>
      </c>
      <c r="H21" s="281"/>
    </row>
    <row r="22" spans="2:8" x14ac:dyDescent="0.25">
      <c r="B22" s="197" t="s">
        <v>296</v>
      </c>
      <c r="C22" s="197">
        <v>1</v>
      </c>
      <c r="D22" s="197" t="s">
        <v>295</v>
      </c>
      <c r="E22" s="281">
        <v>2</v>
      </c>
      <c r="F22" s="281">
        <v>8131.73</v>
      </c>
      <c r="G22" s="281">
        <f t="shared" si="0"/>
        <v>8131.73</v>
      </c>
      <c r="H22" s="281"/>
    </row>
    <row r="23" spans="2:8" x14ac:dyDescent="0.25">
      <c r="B23" s="197" t="s">
        <v>294</v>
      </c>
      <c r="C23" s="197">
        <v>2</v>
      </c>
      <c r="D23" s="197" t="s">
        <v>287</v>
      </c>
      <c r="E23" s="281">
        <v>10944.25</v>
      </c>
      <c r="F23" s="281">
        <f>C23*E23</f>
        <v>21888.5</v>
      </c>
      <c r="G23" s="281">
        <f t="shared" si="0"/>
        <v>21888.5</v>
      </c>
      <c r="H23" s="281"/>
    </row>
    <row r="24" spans="2:8" x14ac:dyDescent="0.25">
      <c r="B24" s="197" t="s">
        <v>293</v>
      </c>
      <c r="C24" s="197">
        <v>2</v>
      </c>
      <c r="D24" s="197" t="s">
        <v>287</v>
      </c>
      <c r="E24" s="281">
        <v>9174.44</v>
      </c>
      <c r="F24" s="281">
        <f>C24*E24</f>
        <v>18348.88</v>
      </c>
      <c r="G24" s="281">
        <f t="shared" si="0"/>
        <v>18348.88</v>
      </c>
      <c r="H24" s="281"/>
    </row>
    <row r="25" spans="2:8" x14ac:dyDescent="0.25">
      <c r="B25" s="197" t="s">
        <v>292</v>
      </c>
      <c r="C25" s="197">
        <v>2</v>
      </c>
      <c r="D25" s="197" t="s">
        <v>287</v>
      </c>
      <c r="E25" s="281">
        <v>29135.72</v>
      </c>
      <c r="F25" s="281">
        <f>C25*E25</f>
        <v>58271.44</v>
      </c>
      <c r="G25" s="281">
        <f t="shared" si="0"/>
        <v>58271.44</v>
      </c>
      <c r="H25" s="281"/>
    </row>
    <row r="26" spans="2:8" x14ac:dyDescent="0.25">
      <c r="B26" s="197" t="s">
        <v>291</v>
      </c>
      <c r="C26" s="197">
        <v>2</v>
      </c>
      <c r="D26" s="197" t="s">
        <v>287</v>
      </c>
      <c r="E26" s="281">
        <v>17699.28</v>
      </c>
      <c r="F26" s="281">
        <f>C26*E26</f>
        <v>35398.559999999998</v>
      </c>
      <c r="G26" s="281">
        <f t="shared" si="0"/>
        <v>35398.559999999998</v>
      </c>
      <c r="H26" s="281"/>
    </row>
    <row r="27" spans="2:8" x14ac:dyDescent="0.25">
      <c r="B27" s="197" t="s">
        <v>290</v>
      </c>
      <c r="C27" s="197">
        <v>20</v>
      </c>
      <c r="D27" s="197" t="s">
        <v>289</v>
      </c>
      <c r="E27" s="281">
        <v>3951</v>
      </c>
      <c r="F27" s="281">
        <f>C27*E27</f>
        <v>79020</v>
      </c>
      <c r="G27" s="281">
        <f t="shared" si="0"/>
        <v>79020</v>
      </c>
      <c r="H27" s="281"/>
    </row>
    <row r="28" spans="2:8" x14ac:dyDescent="0.25">
      <c r="B28" s="197" t="s">
        <v>288</v>
      </c>
      <c r="C28" s="197">
        <v>4</v>
      </c>
      <c r="D28" s="197" t="s">
        <v>287</v>
      </c>
      <c r="E28" s="282">
        <v>21412.46</v>
      </c>
      <c r="F28" s="282">
        <f>E28*C28</f>
        <v>85649.84</v>
      </c>
      <c r="G28" s="281">
        <f t="shared" si="0"/>
        <v>85649.84</v>
      </c>
      <c r="H28" s="281"/>
    </row>
    <row r="29" spans="2:8" x14ac:dyDescent="0.25">
      <c r="B29" s="197" t="s">
        <v>286</v>
      </c>
      <c r="C29" s="197">
        <v>4</v>
      </c>
      <c r="D29" s="283" t="s">
        <v>289</v>
      </c>
      <c r="E29" s="281">
        <v>906.53</v>
      </c>
      <c r="F29" s="281">
        <f>E29*C29</f>
        <v>3626.12</v>
      </c>
      <c r="G29" s="281">
        <f t="shared" si="0"/>
        <v>3626.12</v>
      </c>
      <c r="H29" s="281"/>
    </row>
    <row r="30" spans="2:8" x14ac:dyDescent="0.25">
      <c r="B30" s="464" t="s">
        <v>510</v>
      </c>
      <c r="C30" s="197">
        <v>1</v>
      </c>
      <c r="D30" s="283" t="s">
        <v>287</v>
      </c>
      <c r="E30" s="284">
        <v>3599</v>
      </c>
      <c r="F30" s="281">
        <f>E30</f>
        <v>3599</v>
      </c>
      <c r="G30" s="281">
        <f t="shared" si="0"/>
        <v>3599</v>
      </c>
      <c r="H30" s="281"/>
    </row>
    <row r="31" spans="2:8" x14ac:dyDescent="0.25">
      <c r="B31" s="283" t="s">
        <v>372</v>
      </c>
      <c r="C31" s="197">
        <v>3</v>
      </c>
      <c r="D31" s="283" t="s">
        <v>287</v>
      </c>
      <c r="E31" s="281">
        <v>1530</v>
      </c>
      <c r="F31" s="281">
        <f>E31*C31</f>
        <v>4590</v>
      </c>
      <c r="G31" s="281">
        <f t="shared" si="0"/>
        <v>4590</v>
      </c>
      <c r="H31" s="281"/>
    </row>
    <row r="32" spans="2:8" x14ac:dyDescent="0.25">
      <c r="F32" s="281">
        <f>SUM(F18:F31)</f>
        <v>1947676.71</v>
      </c>
      <c r="G32" s="281">
        <f>SUM(G18:G31)</f>
        <v>1127676.7100000004</v>
      </c>
      <c r="H32" s="281">
        <f>SUM(H18:H31)</f>
        <v>820000</v>
      </c>
    </row>
    <row r="34" spans="2:8" x14ac:dyDescent="0.25">
      <c r="B34" s="598" t="s">
        <v>284</v>
      </c>
      <c r="C34" s="599"/>
      <c r="D34" s="599"/>
      <c r="E34" s="599"/>
      <c r="F34" s="599"/>
      <c r="G34" s="599"/>
      <c r="H34" s="600"/>
    </row>
    <row r="35" spans="2:8" x14ac:dyDescent="0.25">
      <c r="B35" s="196" t="s">
        <v>283</v>
      </c>
      <c r="C35" s="196">
        <v>1</v>
      </c>
      <c r="D35" s="196" t="s">
        <v>281</v>
      </c>
      <c r="E35" s="285">
        <v>20000</v>
      </c>
      <c r="F35" s="285">
        <f>C35*E35</f>
        <v>20000</v>
      </c>
      <c r="G35" s="285">
        <f>F35</f>
        <v>20000</v>
      </c>
      <c r="H35" s="285"/>
    </row>
    <row r="36" spans="2:8" x14ac:dyDescent="0.25">
      <c r="B36" s="195" t="s">
        <v>282</v>
      </c>
      <c r="C36" s="195">
        <v>1</v>
      </c>
      <c r="D36" s="195" t="s">
        <v>281</v>
      </c>
      <c r="E36" s="286"/>
      <c r="F36" s="286">
        <f>F32*0.15</f>
        <v>292151.50649999996</v>
      </c>
      <c r="G36" s="286"/>
      <c r="H36" s="286"/>
    </row>
    <row r="37" spans="2:8" x14ac:dyDescent="0.25">
      <c r="E37" s="287"/>
      <c r="F37" s="249">
        <f>SUM(F35:F36)</f>
        <v>312151.50649999996</v>
      </c>
      <c r="G37" s="249">
        <f>SUM(G35)</f>
        <v>20000</v>
      </c>
      <c r="H37" s="249">
        <f>SUM(H35)</f>
        <v>0</v>
      </c>
    </row>
    <row r="40" spans="2:8" x14ac:dyDescent="0.25">
      <c r="B40" s="193"/>
      <c r="C40" s="608" t="s">
        <v>62</v>
      </c>
      <c r="D40" s="608"/>
      <c r="E40" s="595" t="s">
        <v>303</v>
      </c>
      <c r="F40" s="595" t="s">
        <v>349</v>
      </c>
      <c r="G40" s="595" t="s">
        <v>26</v>
      </c>
      <c r="H40" s="595" t="s">
        <v>128</v>
      </c>
    </row>
    <row r="41" spans="2:8" x14ac:dyDescent="0.25">
      <c r="B41" s="194">
        <f>E41/E44</f>
        <v>0</v>
      </c>
      <c r="C41" s="607" t="s">
        <v>280</v>
      </c>
      <c r="D41" s="607"/>
      <c r="E41" s="250">
        <f>0</f>
        <v>0</v>
      </c>
      <c r="F41" s="250">
        <v>0</v>
      </c>
      <c r="G41" s="250">
        <f>SUM(E41:F41)</f>
        <v>0</v>
      </c>
      <c r="H41" s="250">
        <f>G41/G44</f>
        <v>0</v>
      </c>
    </row>
    <row r="42" spans="2:8" x14ac:dyDescent="0.25">
      <c r="B42" s="194" t="s">
        <v>279</v>
      </c>
      <c r="C42" s="607" t="s">
        <v>278</v>
      </c>
      <c r="D42" s="607"/>
      <c r="E42" s="250">
        <f>G32</f>
        <v>1127676.7100000004</v>
      </c>
      <c r="F42" s="250">
        <f>H32</f>
        <v>820000</v>
      </c>
      <c r="G42" s="250">
        <f>SUM(E42:F42)</f>
        <v>1947676.7100000004</v>
      </c>
      <c r="H42" s="252">
        <f>G42/G44</f>
        <v>0.86186936501595801</v>
      </c>
    </row>
    <row r="43" spans="2:8" x14ac:dyDescent="0.25">
      <c r="B43" s="194"/>
      <c r="C43" s="607" t="s">
        <v>277</v>
      </c>
      <c r="D43" s="607"/>
      <c r="E43" s="250">
        <f>F37</f>
        <v>312151.50649999996</v>
      </c>
      <c r="F43" s="250">
        <v>0</v>
      </c>
      <c r="G43" s="250">
        <f>SUM(E43:F43)</f>
        <v>312151.50649999996</v>
      </c>
      <c r="H43" s="252">
        <f>G43/G44</f>
        <v>0.13813063498404188</v>
      </c>
    </row>
    <row r="44" spans="2:8" x14ac:dyDescent="0.25">
      <c r="B44" s="193">
        <f>100</f>
        <v>100</v>
      </c>
      <c r="C44" s="607" t="s">
        <v>276</v>
      </c>
      <c r="D44" s="607"/>
      <c r="E44" s="251">
        <f>SUM(E41:E43)</f>
        <v>1439828.2165000003</v>
      </c>
      <c r="F44" s="251">
        <f>SUM(F41:F43)</f>
        <v>820000</v>
      </c>
      <c r="G44" s="251">
        <f>SUM(G41:G43)</f>
        <v>2259828.2165000006</v>
      </c>
      <c r="H44" s="253">
        <v>1</v>
      </c>
    </row>
    <row r="45" spans="2:8" x14ac:dyDescent="0.25">
      <c r="B45" s="193"/>
      <c r="C45" s="607" t="s">
        <v>128</v>
      </c>
      <c r="D45" s="607"/>
      <c r="E45" s="192">
        <f>(E44/G44)*100</f>
        <v>63.714056050242263</v>
      </c>
      <c r="F45" s="192">
        <f>(F44/G44)*100</f>
        <v>36.28594394975773</v>
      </c>
      <c r="G45" s="191">
        <v>1</v>
      </c>
      <c r="H45" s="190"/>
    </row>
  </sheetData>
  <mergeCells count="13">
    <mergeCell ref="C45:D45"/>
    <mergeCell ref="C44:D44"/>
    <mergeCell ref="C40:D40"/>
    <mergeCell ref="C41:D41"/>
    <mergeCell ref="C42:D42"/>
    <mergeCell ref="C43:D43"/>
    <mergeCell ref="B34:H34"/>
    <mergeCell ref="C16:C17"/>
    <mergeCell ref="D16:D17"/>
    <mergeCell ref="E16:E17"/>
    <mergeCell ref="F16:F17"/>
    <mergeCell ref="G16:G17"/>
    <mergeCell ref="H16:H17"/>
  </mergeCells>
  <pageMargins left="0.7" right="0.7" top="0.75" bottom="0.75" header="0.3" footer="0.3"/>
  <pageSetup scale="96" orientation="portrait" r:id="rId1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DFF4-ED5D-174A-943F-0FA8B4403841}">
  <dimension ref="A1:J64"/>
  <sheetViews>
    <sheetView topLeftCell="A19" zoomScale="85" zoomScaleNormal="85" workbookViewId="0">
      <selection activeCell="F60" sqref="F60"/>
    </sheetView>
  </sheetViews>
  <sheetFormatPr baseColWidth="10" defaultColWidth="11.42578125" defaultRowHeight="12.75" x14ac:dyDescent="0.2"/>
  <cols>
    <col min="1" max="1" width="99.28515625" customWidth="1"/>
    <col min="2" max="2" width="16.28515625" customWidth="1"/>
    <col min="3" max="3" width="14" customWidth="1"/>
    <col min="4" max="4" width="16.140625" customWidth="1"/>
    <col min="5" max="7" width="18.140625" customWidth="1"/>
    <col min="8" max="10" width="14.42578125" bestFit="1" customWidth="1"/>
  </cols>
  <sheetData>
    <row r="1" spans="1:7" ht="20.25" x14ac:dyDescent="0.3">
      <c r="A1" s="113" t="s">
        <v>0</v>
      </c>
    </row>
    <row r="3" spans="1:7" ht="18" x14ac:dyDescent="0.25">
      <c r="A3" s="39" t="s">
        <v>13</v>
      </c>
    </row>
    <row r="4" spans="1:7" ht="18" x14ac:dyDescent="0.25">
      <c r="A4" s="39"/>
    </row>
    <row r="5" spans="1:7" ht="15.75" x14ac:dyDescent="0.25">
      <c r="A5" s="2" t="s">
        <v>274</v>
      </c>
      <c r="B5" s="2"/>
      <c r="C5" s="2"/>
      <c r="D5" s="2"/>
      <c r="E5" s="2"/>
      <c r="F5" s="2"/>
      <c r="G5" s="2"/>
    </row>
    <row r="6" spans="1:7" ht="15.75" x14ac:dyDescent="0.25">
      <c r="A6" s="2" t="s">
        <v>275</v>
      </c>
      <c r="B6" s="2"/>
      <c r="C6" s="2"/>
      <c r="D6" s="2"/>
      <c r="E6" s="2"/>
      <c r="F6" s="2"/>
      <c r="G6" s="2"/>
    </row>
    <row r="7" spans="1:7" ht="15.75" x14ac:dyDescent="0.25">
      <c r="A7" s="2" t="s">
        <v>16</v>
      </c>
      <c r="B7" s="2"/>
      <c r="C7" s="3"/>
      <c r="D7" s="3"/>
      <c r="E7" s="3"/>
      <c r="F7" s="114"/>
      <c r="G7" s="115"/>
    </row>
    <row r="8" spans="1:7" ht="15" x14ac:dyDescent="0.2">
      <c r="A8" s="11"/>
      <c r="B8" s="11"/>
      <c r="C8" s="11"/>
      <c r="D8" s="11"/>
      <c r="E8" s="11"/>
      <c r="F8" s="11"/>
      <c r="G8" s="11"/>
    </row>
    <row r="9" spans="1:7" ht="15.75" x14ac:dyDescent="0.25">
      <c r="A9" s="609" t="s">
        <v>17</v>
      </c>
      <c r="B9" s="609"/>
      <c r="C9" s="609"/>
      <c r="D9" s="609"/>
      <c r="E9" s="609"/>
      <c r="F9" s="609"/>
      <c r="G9" s="609"/>
    </row>
    <row r="10" spans="1:7" ht="15.75" x14ac:dyDescent="0.25">
      <c r="A10" s="581" t="s">
        <v>18</v>
      </c>
      <c r="B10" s="582" t="s">
        <v>19</v>
      </c>
      <c r="C10" s="583" t="s">
        <v>20</v>
      </c>
      <c r="D10" s="583" t="s">
        <v>21</v>
      </c>
      <c r="E10" s="584" t="s">
        <v>22</v>
      </c>
      <c r="F10" s="610" t="s">
        <v>23</v>
      </c>
      <c r="G10" s="611"/>
    </row>
    <row r="11" spans="1:7" ht="15.75" x14ac:dyDescent="0.25">
      <c r="A11" s="585"/>
      <c r="B11" s="586" t="s">
        <v>24</v>
      </c>
      <c r="C11" s="587"/>
      <c r="D11" s="587" t="s">
        <v>25</v>
      </c>
      <c r="E11" s="588" t="s">
        <v>26</v>
      </c>
      <c r="F11" s="589" t="s">
        <v>27</v>
      </c>
      <c r="G11" s="589" t="s">
        <v>28</v>
      </c>
    </row>
    <row r="12" spans="1:7" ht="15.75" x14ac:dyDescent="0.25">
      <c r="A12" s="590" t="s">
        <v>30</v>
      </c>
      <c r="B12" s="591"/>
      <c r="C12" s="591"/>
      <c r="D12" s="577"/>
      <c r="E12" s="577"/>
      <c r="F12" s="577" t="s">
        <v>303</v>
      </c>
      <c r="G12" s="592" t="s">
        <v>349</v>
      </c>
    </row>
    <row r="13" spans="1:7" ht="15" x14ac:dyDescent="0.25">
      <c r="A13" s="197" t="s">
        <v>300</v>
      </c>
      <c r="B13" s="197">
        <v>1</v>
      </c>
      <c r="C13" s="197" t="s">
        <v>299</v>
      </c>
      <c r="D13" s="198">
        <v>820000</v>
      </c>
      <c r="E13" s="198">
        <f>B13*D13</f>
        <v>820000</v>
      </c>
      <c r="F13" s="197"/>
      <c r="G13" s="198">
        <f>E13</f>
        <v>820000</v>
      </c>
    </row>
    <row r="14" spans="1:7" ht="15" x14ac:dyDescent="0.25">
      <c r="A14" s="197" t="s">
        <v>298</v>
      </c>
      <c r="B14" s="197">
        <v>2</v>
      </c>
      <c r="C14" s="197" t="s">
        <v>287</v>
      </c>
      <c r="D14" s="198">
        <v>59908.160000000003</v>
      </c>
      <c r="E14" s="198">
        <f>B14*D14</f>
        <v>119816.32000000001</v>
      </c>
      <c r="F14" s="198">
        <f>E14</f>
        <v>119816.32000000001</v>
      </c>
    </row>
    <row r="15" spans="1:7" ht="15.75" x14ac:dyDescent="0.25">
      <c r="A15" s="197" t="s">
        <v>297</v>
      </c>
      <c r="B15" s="197">
        <v>2</v>
      </c>
      <c r="C15" s="197" t="s">
        <v>287</v>
      </c>
      <c r="D15" s="198">
        <v>42380</v>
      </c>
      <c r="E15" s="198">
        <f>B15*D15</f>
        <v>84760</v>
      </c>
      <c r="F15" s="198">
        <f t="shared" ref="F15:F25" si="0">E15</f>
        <v>84760</v>
      </c>
      <c r="G15" s="116"/>
    </row>
    <row r="16" spans="1:7" ht="15.75" x14ac:dyDescent="0.25">
      <c r="A16" s="197" t="s">
        <v>296</v>
      </c>
      <c r="B16" s="197">
        <v>1</v>
      </c>
      <c r="C16" s="197" t="s">
        <v>295</v>
      </c>
      <c r="D16" s="198">
        <v>8131.73</v>
      </c>
      <c r="E16" s="198">
        <v>8131.73</v>
      </c>
      <c r="F16" s="198">
        <f t="shared" si="0"/>
        <v>8131.73</v>
      </c>
      <c r="G16" s="116"/>
    </row>
    <row r="17" spans="1:10" ht="15.75" x14ac:dyDescent="0.25">
      <c r="A17" s="197" t="s">
        <v>294</v>
      </c>
      <c r="B17" s="197">
        <v>2</v>
      </c>
      <c r="C17" s="197" t="s">
        <v>287</v>
      </c>
      <c r="D17" s="198">
        <v>10944.25</v>
      </c>
      <c r="E17" s="198">
        <f>B17*D17</f>
        <v>21888.5</v>
      </c>
      <c r="F17" s="198">
        <f t="shared" si="0"/>
        <v>21888.5</v>
      </c>
      <c r="G17" s="4"/>
    </row>
    <row r="18" spans="1:10" ht="15.75" x14ac:dyDescent="0.25">
      <c r="A18" s="197" t="s">
        <v>293</v>
      </c>
      <c r="B18" s="197">
        <v>2</v>
      </c>
      <c r="C18" s="197" t="s">
        <v>287</v>
      </c>
      <c r="D18" s="198">
        <v>9174.44</v>
      </c>
      <c r="E18" s="198">
        <f>B18*D18</f>
        <v>18348.88</v>
      </c>
      <c r="F18" s="198">
        <f t="shared" si="0"/>
        <v>18348.88</v>
      </c>
      <c r="G18" s="4"/>
    </row>
    <row r="19" spans="1:10" ht="15.75" x14ac:dyDescent="0.25">
      <c r="A19" s="197" t="s">
        <v>292</v>
      </c>
      <c r="B19" s="197">
        <v>2</v>
      </c>
      <c r="C19" s="197" t="s">
        <v>287</v>
      </c>
      <c r="D19" s="198">
        <v>29135.72</v>
      </c>
      <c r="E19" s="198">
        <f>B19*D19</f>
        <v>58271.44</v>
      </c>
      <c r="F19" s="198">
        <f t="shared" si="0"/>
        <v>58271.44</v>
      </c>
      <c r="G19" s="4"/>
    </row>
    <row r="20" spans="1:10" ht="15.75" x14ac:dyDescent="0.25">
      <c r="A20" s="197" t="s">
        <v>291</v>
      </c>
      <c r="B20" s="197">
        <v>2</v>
      </c>
      <c r="C20" s="197" t="s">
        <v>287</v>
      </c>
      <c r="D20" s="198">
        <v>17699.28</v>
      </c>
      <c r="E20" s="198">
        <f>B20*D20</f>
        <v>35398.559999999998</v>
      </c>
      <c r="F20" s="198">
        <f t="shared" si="0"/>
        <v>35398.559999999998</v>
      </c>
      <c r="G20" s="4"/>
    </row>
    <row r="21" spans="1:10" ht="15.75" x14ac:dyDescent="0.25">
      <c r="A21" s="197" t="s">
        <v>290</v>
      </c>
      <c r="B21" s="197">
        <v>20</v>
      </c>
      <c r="C21" s="197" t="s">
        <v>289</v>
      </c>
      <c r="D21" s="198">
        <v>3951</v>
      </c>
      <c r="E21" s="198">
        <f>B21*D21</f>
        <v>79020</v>
      </c>
      <c r="F21" s="198">
        <f t="shared" si="0"/>
        <v>79020</v>
      </c>
      <c r="G21" s="116"/>
    </row>
    <row r="22" spans="1:10" ht="15.75" x14ac:dyDescent="0.25">
      <c r="A22" s="197" t="s">
        <v>288</v>
      </c>
      <c r="B22" s="197">
        <v>4</v>
      </c>
      <c r="C22" s="197" t="s">
        <v>287</v>
      </c>
      <c r="D22" s="199">
        <v>21412.46</v>
      </c>
      <c r="E22" s="199">
        <f>D22*B22</f>
        <v>85649.84</v>
      </c>
      <c r="F22" s="198">
        <f t="shared" si="0"/>
        <v>85649.84</v>
      </c>
      <c r="G22" s="116"/>
    </row>
    <row r="23" spans="1:10" ht="15.75" x14ac:dyDescent="0.25">
      <c r="A23" s="197" t="s">
        <v>286</v>
      </c>
      <c r="B23" s="197">
        <v>4</v>
      </c>
      <c r="C23" s="197" t="s">
        <v>289</v>
      </c>
      <c r="D23" s="198">
        <v>906.53</v>
      </c>
      <c r="E23" s="198">
        <f>D23*B23</f>
        <v>3626.12</v>
      </c>
      <c r="F23" s="198">
        <f t="shared" si="0"/>
        <v>3626.12</v>
      </c>
      <c r="G23" s="116"/>
    </row>
    <row r="24" spans="1:10" ht="15.75" x14ac:dyDescent="0.25">
      <c r="A24" s="197" t="s">
        <v>285</v>
      </c>
      <c r="B24" s="197">
        <v>1</v>
      </c>
      <c r="C24" s="283" t="s">
        <v>287</v>
      </c>
      <c r="D24" s="318">
        <v>3599</v>
      </c>
      <c r="E24" s="198">
        <f>D24</f>
        <v>3599</v>
      </c>
      <c r="F24" s="198">
        <f t="shared" si="0"/>
        <v>3599</v>
      </c>
      <c r="G24" s="116"/>
    </row>
    <row r="25" spans="1:10" ht="15.75" x14ac:dyDescent="0.25">
      <c r="A25" s="283" t="s">
        <v>372</v>
      </c>
      <c r="B25" s="197">
        <v>3</v>
      </c>
      <c r="C25" s="283" t="s">
        <v>287</v>
      </c>
      <c r="D25" s="198">
        <v>1530</v>
      </c>
      <c r="E25" s="198">
        <f>D25*B25</f>
        <v>4590</v>
      </c>
      <c r="F25" s="198">
        <f t="shared" si="0"/>
        <v>4590</v>
      </c>
      <c r="G25" s="116"/>
    </row>
    <row r="26" spans="1:10" ht="15" x14ac:dyDescent="0.2">
      <c r="A26" s="19"/>
      <c r="B26" s="70"/>
      <c r="C26" s="70"/>
      <c r="D26" s="79"/>
      <c r="E26" s="79"/>
      <c r="F26" s="79"/>
      <c r="G26" s="116"/>
      <c r="I26" s="117"/>
    </row>
    <row r="27" spans="1:10" ht="15.75" x14ac:dyDescent="0.25">
      <c r="A27" s="12" t="s">
        <v>31</v>
      </c>
      <c r="B27" s="70"/>
      <c r="C27" s="70"/>
      <c r="D27" s="70"/>
      <c r="E27" s="81">
        <f>SUM(E13:E26)</f>
        <v>1343100.3900000001</v>
      </c>
      <c r="F27" s="81">
        <f>SUM(F14:F26)</f>
        <v>523100.39</v>
      </c>
      <c r="G27" s="81">
        <f>SUM(G13:G26)</f>
        <v>820000</v>
      </c>
      <c r="H27" s="117"/>
    </row>
    <row r="28" spans="1:10" ht="12.75" customHeight="1" x14ac:dyDescent="0.25">
      <c r="A28" s="612" t="s">
        <v>32</v>
      </c>
      <c r="B28" s="613"/>
      <c r="C28" s="575"/>
      <c r="D28" s="576"/>
      <c r="E28" s="577"/>
      <c r="F28" s="575"/>
      <c r="G28" s="575"/>
      <c r="I28" s="59"/>
    </row>
    <row r="29" spans="1:10" ht="12.75" customHeight="1" x14ac:dyDescent="0.25">
      <c r="A29" s="223" t="s">
        <v>304</v>
      </c>
      <c r="B29" s="203"/>
      <c r="C29" s="209"/>
      <c r="D29" s="209"/>
      <c r="E29" s="210"/>
      <c r="F29" s="209"/>
      <c r="G29" s="209"/>
      <c r="I29" s="59"/>
    </row>
    <row r="30" spans="1:10" ht="15" x14ac:dyDescent="0.25">
      <c r="A30" s="219" t="s">
        <v>305</v>
      </c>
      <c r="B30" s="204">
        <v>2</v>
      </c>
      <c r="C30" s="211" t="s">
        <v>330</v>
      </c>
      <c r="D30" s="210">
        <v>20000</v>
      </c>
      <c r="E30" s="210">
        <f>D30*B30</f>
        <v>40000</v>
      </c>
      <c r="F30" s="212">
        <f>E30</f>
        <v>40000</v>
      </c>
      <c r="G30" s="205"/>
      <c r="I30" s="59"/>
      <c r="J30" s="59"/>
    </row>
    <row r="31" spans="1:10" ht="12.75" customHeight="1" x14ac:dyDescent="0.25">
      <c r="A31" s="207" t="s">
        <v>306</v>
      </c>
      <c r="B31" s="205">
        <v>20</v>
      </c>
      <c r="C31" s="213" t="s">
        <v>330</v>
      </c>
      <c r="D31" s="214">
        <v>11100</v>
      </c>
      <c r="E31" s="214">
        <f>D31*B31</f>
        <v>222000</v>
      </c>
      <c r="F31" s="214">
        <f>E31</f>
        <v>222000</v>
      </c>
      <c r="G31" s="214"/>
    </row>
    <row r="32" spans="1:10" ht="12.75" customHeight="1" x14ac:dyDescent="0.25">
      <c r="A32" s="207" t="s">
        <v>307</v>
      </c>
      <c r="B32" s="205">
        <v>4</v>
      </c>
      <c r="C32" s="213" t="s">
        <v>330</v>
      </c>
      <c r="D32" s="214">
        <v>12100</v>
      </c>
      <c r="E32" s="214">
        <f>D32*B32</f>
        <v>48400</v>
      </c>
      <c r="F32" s="214">
        <f>E32</f>
        <v>48400</v>
      </c>
      <c r="G32" s="214"/>
      <c r="I32" s="59"/>
    </row>
    <row r="33" spans="1:9" ht="12.75" customHeight="1" x14ac:dyDescent="0.25">
      <c r="A33" s="207" t="s">
        <v>308</v>
      </c>
      <c r="B33" s="205">
        <v>1</v>
      </c>
      <c r="C33" s="213" t="s">
        <v>330</v>
      </c>
      <c r="D33" s="214">
        <v>12000</v>
      </c>
      <c r="E33" s="214">
        <f>D33*B33</f>
        <v>12000</v>
      </c>
      <c r="F33" s="214">
        <f>E33</f>
        <v>12000</v>
      </c>
      <c r="G33" s="214"/>
      <c r="H33" s="272"/>
    </row>
    <row r="34" spans="1:9" ht="15.75" x14ac:dyDescent="0.25">
      <c r="A34" s="222" t="s">
        <v>309</v>
      </c>
      <c r="B34" s="205"/>
      <c r="C34" s="213"/>
      <c r="D34" s="214"/>
      <c r="E34" s="214"/>
      <c r="F34" s="214"/>
      <c r="G34" s="214"/>
      <c r="I34" s="59"/>
    </row>
    <row r="35" spans="1:9" ht="15" x14ac:dyDescent="0.25">
      <c r="A35" s="207" t="s">
        <v>310</v>
      </c>
      <c r="B35" s="205">
        <v>1</v>
      </c>
      <c r="C35" s="213" t="s">
        <v>331</v>
      </c>
      <c r="D35" s="214">
        <v>15000.5</v>
      </c>
      <c r="E35" s="214">
        <f>D35*B35</f>
        <v>15000.5</v>
      </c>
      <c r="F35" s="214">
        <f>E35</f>
        <v>15000.5</v>
      </c>
      <c r="G35" s="214"/>
      <c r="I35" s="117"/>
    </row>
    <row r="36" spans="1:9" ht="15" x14ac:dyDescent="0.25">
      <c r="A36" s="220" t="s">
        <v>311</v>
      </c>
      <c r="B36" s="205">
        <v>1</v>
      </c>
      <c r="C36" s="213" t="s">
        <v>332</v>
      </c>
      <c r="D36" s="214">
        <v>10000.82</v>
      </c>
      <c r="E36" s="214">
        <f>D36*B36</f>
        <v>10000.82</v>
      </c>
      <c r="F36" s="214">
        <f>E36</f>
        <v>10000.82</v>
      </c>
      <c r="G36" s="215"/>
    </row>
    <row r="37" spans="1:9" ht="15.75" x14ac:dyDescent="0.25">
      <c r="A37" s="222" t="s">
        <v>312</v>
      </c>
      <c r="B37" s="206"/>
      <c r="C37" s="216"/>
      <c r="D37" s="217"/>
      <c r="E37" s="217"/>
      <c r="F37" s="217"/>
      <c r="G37" s="215"/>
    </row>
    <row r="38" spans="1:9" ht="15" x14ac:dyDescent="0.25">
      <c r="A38" s="221" t="s">
        <v>313</v>
      </c>
      <c r="B38" s="205">
        <v>91</v>
      </c>
      <c r="C38" s="213" t="s">
        <v>333</v>
      </c>
      <c r="D38" s="214">
        <v>150</v>
      </c>
      <c r="E38" s="214">
        <f t="shared" ref="E38:E57" si="1">D38*B38</f>
        <v>13650</v>
      </c>
      <c r="F38" s="214">
        <f t="shared" ref="F38:F54" si="2">E38</f>
        <v>13650</v>
      </c>
      <c r="G38" s="214"/>
      <c r="I38" s="109"/>
    </row>
    <row r="39" spans="1:9" ht="15" x14ac:dyDescent="0.25">
      <c r="A39" s="207" t="s">
        <v>314</v>
      </c>
      <c r="B39" s="205">
        <v>60</v>
      </c>
      <c r="C39" s="213" t="s">
        <v>334</v>
      </c>
      <c r="D39" s="214">
        <v>209</v>
      </c>
      <c r="E39" s="214">
        <f t="shared" si="1"/>
        <v>12540</v>
      </c>
      <c r="F39" s="214">
        <f t="shared" si="2"/>
        <v>12540</v>
      </c>
      <c r="G39" s="214"/>
      <c r="I39" s="109"/>
    </row>
    <row r="40" spans="1:9" ht="15" x14ac:dyDescent="0.25">
      <c r="A40" s="207" t="s">
        <v>315</v>
      </c>
      <c r="B40" s="205">
        <v>50</v>
      </c>
      <c r="C40" s="213" t="s">
        <v>335</v>
      </c>
      <c r="D40" s="214">
        <v>100</v>
      </c>
      <c r="E40" s="214">
        <f t="shared" si="1"/>
        <v>5000</v>
      </c>
      <c r="F40" s="214">
        <f t="shared" si="2"/>
        <v>5000</v>
      </c>
      <c r="G40" s="214"/>
      <c r="I40" s="109"/>
    </row>
    <row r="41" spans="1:9" ht="15" x14ac:dyDescent="0.25">
      <c r="A41" s="207" t="s">
        <v>316</v>
      </c>
      <c r="B41" s="205">
        <v>600</v>
      </c>
      <c r="C41" s="213" t="s">
        <v>336</v>
      </c>
      <c r="D41" s="214">
        <v>30</v>
      </c>
      <c r="E41" s="214">
        <f t="shared" si="1"/>
        <v>18000</v>
      </c>
      <c r="F41" s="214">
        <f t="shared" si="2"/>
        <v>18000</v>
      </c>
      <c r="G41" s="214"/>
      <c r="I41" s="109"/>
    </row>
    <row r="42" spans="1:9" ht="15" x14ac:dyDescent="0.25">
      <c r="A42" s="220" t="s">
        <v>317</v>
      </c>
      <c r="B42" s="205">
        <v>207</v>
      </c>
      <c r="C42" s="213" t="s">
        <v>337</v>
      </c>
      <c r="D42" s="214">
        <v>30</v>
      </c>
      <c r="E42" s="214">
        <f t="shared" si="1"/>
        <v>6210</v>
      </c>
      <c r="F42" s="214">
        <f t="shared" si="2"/>
        <v>6210</v>
      </c>
      <c r="G42" s="215"/>
      <c r="I42" s="109"/>
    </row>
    <row r="43" spans="1:9" ht="15" x14ac:dyDescent="0.25">
      <c r="A43" s="221" t="s">
        <v>318</v>
      </c>
      <c r="B43" s="205">
        <v>40</v>
      </c>
      <c r="C43" s="213" t="s">
        <v>338</v>
      </c>
      <c r="D43" s="214">
        <v>1000</v>
      </c>
      <c r="E43" s="214">
        <f t="shared" si="1"/>
        <v>40000</v>
      </c>
      <c r="F43" s="214">
        <f t="shared" si="2"/>
        <v>40000</v>
      </c>
      <c r="G43" s="214"/>
      <c r="I43" s="59"/>
    </row>
    <row r="44" spans="1:9" ht="15" x14ac:dyDescent="0.25">
      <c r="A44" s="221" t="s">
        <v>319</v>
      </c>
      <c r="B44" s="205">
        <v>80</v>
      </c>
      <c r="C44" s="213" t="s">
        <v>333</v>
      </c>
      <c r="D44" s="214">
        <v>80</v>
      </c>
      <c r="E44" s="214">
        <f t="shared" si="1"/>
        <v>6400</v>
      </c>
      <c r="F44" s="214">
        <f t="shared" si="2"/>
        <v>6400</v>
      </c>
      <c r="G44" s="214"/>
      <c r="H44" s="109"/>
      <c r="I44" s="117"/>
    </row>
    <row r="45" spans="1:9" ht="15" x14ac:dyDescent="0.25">
      <c r="A45" s="221" t="s">
        <v>320</v>
      </c>
      <c r="B45" s="205">
        <v>80</v>
      </c>
      <c r="C45" s="213" t="s">
        <v>333</v>
      </c>
      <c r="D45" s="214">
        <v>90</v>
      </c>
      <c r="E45" s="214">
        <f t="shared" si="1"/>
        <v>7200</v>
      </c>
      <c r="F45" s="214">
        <f t="shared" si="2"/>
        <v>7200</v>
      </c>
      <c r="G45" s="214"/>
      <c r="H45" s="59"/>
      <c r="I45" s="59"/>
    </row>
    <row r="46" spans="1:9" ht="15" x14ac:dyDescent="0.25">
      <c r="A46" s="221" t="s">
        <v>321</v>
      </c>
      <c r="B46" s="205">
        <v>90</v>
      </c>
      <c r="C46" s="213" t="s">
        <v>339</v>
      </c>
      <c r="D46" s="214">
        <v>200</v>
      </c>
      <c r="E46" s="214">
        <f t="shared" si="1"/>
        <v>18000</v>
      </c>
      <c r="F46" s="214">
        <f t="shared" si="2"/>
        <v>18000</v>
      </c>
      <c r="G46" s="214"/>
      <c r="H46" s="117"/>
    </row>
    <row r="47" spans="1:9" ht="15" x14ac:dyDescent="0.25">
      <c r="A47" s="221" t="s">
        <v>322</v>
      </c>
      <c r="B47" s="205">
        <v>50</v>
      </c>
      <c r="C47" s="213" t="s">
        <v>340</v>
      </c>
      <c r="D47" s="214">
        <v>150</v>
      </c>
      <c r="E47" s="214">
        <f t="shared" si="1"/>
        <v>7500</v>
      </c>
      <c r="F47" s="214">
        <f t="shared" si="2"/>
        <v>7500</v>
      </c>
      <c r="G47" s="214"/>
    </row>
    <row r="48" spans="1:9" ht="15" x14ac:dyDescent="0.25">
      <c r="A48" s="221" t="s">
        <v>323</v>
      </c>
      <c r="B48" s="205">
        <v>60</v>
      </c>
      <c r="C48" s="213" t="s">
        <v>333</v>
      </c>
      <c r="D48" s="214">
        <v>70</v>
      </c>
      <c r="E48" s="214">
        <f t="shared" si="1"/>
        <v>4200</v>
      </c>
      <c r="F48" s="214">
        <f t="shared" si="2"/>
        <v>4200</v>
      </c>
      <c r="G48" s="214"/>
      <c r="H48" s="117"/>
    </row>
    <row r="49" spans="1:8" ht="15" x14ac:dyDescent="0.25">
      <c r="A49" s="221" t="s">
        <v>324</v>
      </c>
      <c r="B49" s="205">
        <v>50</v>
      </c>
      <c r="C49" s="213" t="s">
        <v>333</v>
      </c>
      <c r="D49" s="214">
        <v>60</v>
      </c>
      <c r="E49" s="214">
        <f t="shared" si="1"/>
        <v>3000</v>
      </c>
      <c r="F49" s="214">
        <f t="shared" si="2"/>
        <v>3000</v>
      </c>
      <c r="G49" s="214"/>
    </row>
    <row r="50" spans="1:8" ht="15" x14ac:dyDescent="0.25">
      <c r="A50" s="221" t="s">
        <v>325</v>
      </c>
      <c r="B50" s="205">
        <v>2995</v>
      </c>
      <c r="C50" s="213" t="s">
        <v>339</v>
      </c>
      <c r="D50" s="214">
        <v>5</v>
      </c>
      <c r="E50" s="214">
        <f t="shared" si="1"/>
        <v>14975</v>
      </c>
      <c r="F50" s="214">
        <f t="shared" si="2"/>
        <v>14975</v>
      </c>
      <c r="G50" s="214"/>
    </row>
    <row r="51" spans="1:8" ht="15" x14ac:dyDescent="0.25">
      <c r="A51" s="221" t="s">
        <v>326</v>
      </c>
      <c r="B51" s="205">
        <v>30</v>
      </c>
      <c r="C51" s="213" t="s">
        <v>341</v>
      </c>
      <c r="D51" s="214">
        <v>120</v>
      </c>
      <c r="E51" s="214">
        <f t="shared" si="1"/>
        <v>3600</v>
      </c>
      <c r="F51" s="214">
        <f t="shared" si="2"/>
        <v>3600</v>
      </c>
      <c r="G51" s="214"/>
    </row>
    <row r="52" spans="1:8" ht="15" x14ac:dyDescent="0.25">
      <c r="A52" s="221" t="s">
        <v>327</v>
      </c>
      <c r="B52" s="205">
        <v>20</v>
      </c>
      <c r="C52" s="213" t="s">
        <v>335</v>
      </c>
      <c r="D52" s="214">
        <v>80</v>
      </c>
      <c r="E52" s="214">
        <f t="shared" si="1"/>
        <v>1600</v>
      </c>
      <c r="F52" s="214">
        <f t="shared" si="2"/>
        <v>1600</v>
      </c>
      <c r="G52" s="214"/>
    </row>
    <row r="53" spans="1:8" ht="15" x14ac:dyDescent="0.25">
      <c r="A53" s="221" t="s">
        <v>328</v>
      </c>
      <c r="B53" s="205">
        <v>10</v>
      </c>
      <c r="C53" s="213" t="s">
        <v>341</v>
      </c>
      <c r="D53" s="214">
        <v>30</v>
      </c>
      <c r="E53" s="214">
        <f t="shared" si="1"/>
        <v>300</v>
      </c>
      <c r="F53" s="214">
        <f t="shared" si="2"/>
        <v>300</v>
      </c>
      <c r="G53" s="214"/>
    </row>
    <row r="54" spans="1:8" ht="15" x14ac:dyDescent="0.25">
      <c r="A54" s="221" t="s">
        <v>329</v>
      </c>
      <c r="B54" s="205">
        <v>19</v>
      </c>
      <c r="C54" s="213" t="s">
        <v>342</v>
      </c>
      <c r="D54" s="214">
        <v>5000</v>
      </c>
      <c r="E54" s="214">
        <f t="shared" si="1"/>
        <v>95000</v>
      </c>
      <c r="F54" s="214">
        <f t="shared" si="2"/>
        <v>95000</v>
      </c>
      <c r="G54" s="214"/>
    </row>
    <row r="55" spans="1:8" ht="15" x14ac:dyDescent="0.25">
      <c r="A55" s="207"/>
      <c r="B55" s="205"/>
      <c r="C55" s="218"/>
      <c r="D55" s="214"/>
      <c r="E55" s="214">
        <f t="shared" si="1"/>
        <v>0</v>
      </c>
      <c r="F55" s="214"/>
      <c r="G55" s="214"/>
    </row>
    <row r="56" spans="1:8" ht="15" x14ac:dyDescent="0.25">
      <c r="A56" s="207"/>
      <c r="B56" s="205"/>
      <c r="C56" s="218"/>
      <c r="D56" s="214"/>
      <c r="E56" s="214">
        <f t="shared" si="1"/>
        <v>0</v>
      </c>
      <c r="F56" s="214"/>
    </row>
    <row r="57" spans="1:8" ht="15" x14ac:dyDescent="0.25">
      <c r="A57" s="207"/>
      <c r="B57" s="205"/>
      <c r="C57" s="218"/>
      <c r="D57" s="214"/>
      <c r="E57" s="214">
        <f t="shared" si="1"/>
        <v>0</v>
      </c>
      <c r="F57" s="214"/>
      <c r="G57" s="214"/>
    </row>
    <row r="58" spans="1:8" ht="15" x14ac:dyDescent="0.25">
      <c r="A58" s="208"/>
      <c r="B58" s="205"/>
      <c r="C58" s="218"/>
      <c r="D58" s="214"/>
      <c r="E58" s="214">
        <f>SUM(E30:E57)</f>
        <v>604576.32000000007</v>
      </c>
      <c r="F58" s="214">
        <f>SUM(F30:F57)</f>
        <v>604576.32000000007</v>
      </c>
      <c r="G58" s="215"/>
    </row>
    <row r="59" spans="1:8" ht="15" x14ac:dyDescent="0.25">
      <c r="A59" s="614" t="s">
        <v>33</v>
      </c>
      <c r="B59" s="615"/>
      <c r="C59" s="615"/>
      <c r="D59" s="616"/>
      <c r="E59" s="579">
        <f>+E58+E27</f>
        <v>1947676.7100000002</v>
      </c>
      <c r="F59" s="579">
        <f>F58+F27</f>
        <v>1127676.71</v>
      </c>
      <c r="G59" s="578">
        <f>+G58+G27</f>
        <v>820000</v>
      </c>
      <c r="H59" s="272"/>
    </row>
    <row r="60" spans="1:8" ht="15" x14ac:dyDescent="0.25">
      <c r="A60" s="614" t="s">
        <v>34</v>
      </c>
      <c r="B60" s="615"/>
      <c r="C60" s="615"/>
      <c r="D60" s="616"/>
      <c r="E60" s="580">
        <f>+E59/E59</f>
        <v>1</v>
      </c>
      <c r="F60" s="580">
        <f>+F59/E59</f>
        <v>0.57898556994091688</v>
      </c>
      <c r="G60" s="580">
        <v>0.55000000000000004</v>
      </c>
    </row>
    <row r="61" spans="1:8" x14ac:dyDescent="0.2">
      <c r="E61" s="109"/>
    </row>
    <row r="64" spans="1:8" x14ac:dyDescent="0.2">
      <c r="E64" s="59"/>
    </row>
  </sheetData>
  <mergeCells count="5">
    <mergeCell ref="A9:G9"/>
    <mergeCell ref="F10:G10"/>
    <mergeCell ref="A28:B28"/>
    <mergeCell ref="A60:D60"/>
    <mergeCell ref="A59:D59"/>
  </mergeCells>
  <pageMargins left="0.45" right="0.4" top="0.47" bottom="0.62" header="0" footer="0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3254-86D5-A342-93F4-0C116644365C}">
  <sheetPr>
    <tabColor theme="7" tint="0.39997558519241921"/>
  </sheetPr>
  <dimension ref="A1:S77"/>
  <sheetViews>
    <sheetView topLeftCell="A14" zoomScale="55" zoomScaleNormal="55" workbookViewId="0">
      <selection activeCell="B75" sqref="B75"/>
    </sheetView>
  </sheetViews>
  <sheetFormatPr baseColWidth="10" defaultColWidth="11.42578125" defaultRowHeight="12.75" x14ac:dyDescent="0.2"/>
  <cols>
    <col min="1" max="1" width="24.140625" customWidth="1"/>
    <col min="2" max="2" width="40.28515625" customWidth="1"/>
    <col min="3" max="3" width="20" customWidth="1"/>
    <col min="4" max="4" width="24" bestFit="1" customWidth="1"/>
    <col min="5" max="6" width="17.85546875" customWidth="1"/>
    <col min="7" max="7" width="20.28515625" bestFit="1" customWidth="1"/>
    <col min="8" max="8" width="21.140625" bestFit="1" customWidth="1"/>
    <col min="9" max="9" width="21.7109375" bestFit="1" customWidth="1"/>
    <col min="10" max="10" width="21.140625" bestFit="1" customWidth="1"/>
    <col min="11" max="13" width="22.140625" bestFit="1" customWidth="1"/>
    <col min="14" max="14" width="25.28515625" bestFit="1" customWidth="1"/>
    <col min="15" max="15" width="25.140625" bestFit="1" customWidth="1"/>
    <col min="16" max="16" width="27.42578125" bestFit="1" customWidth="1"/>
    <col min="17" max="17" width="11.7109375" bestFit="1" customWidth="1"/>
    <col min="18" max="18" width="23" bestFit="1" customWidth="1"/>
    <col min="19" max="19" width="11.85546875" bestFit="1" customWidth="1"/>
    <col min="21" max="21" width="47.42578125" bestFit="1" customWidth="1"/>
  </cols>
  <sheetData>
    <row r="1" spans="1:19" ht="18" x14ac:dyDescent="0.25">
      <c r="A1" s="39" t="s">
        <v>35</v>
      </c>
    </row>
    <row r="3" spans="1:19" ht="18" x14ac:dyDescent="0.25">
      <c r="A3" s="39" t="s">
        <v>36</v>
      </c>
    </row>
    <row r="5" spans="1:19" ht="15.75" x14ac:dyDescent="0.25">
      <c r="A5" s="2" t="s">
        <v>14</v>
      </c>
      <c r="B5" s="2"/>
      <c r="C5" s="2"/>
      <c r="D5" s="2"/>
      <c r="E5" s="2"/>
      <c r="F5" s="2"/>
      <c r="G5" s="86"/>
      <c r="H5" s="87"/>
      <c r="I5" s="87"/>
      <c r="J5" s="87"/>
      <c r="K5" s="87"/>
      <c r="L5" s="87"/>
      <c r="M5" s="87"/>
      <c r="N5" s="87"/>
      <c r="O5" s="87"/>
    </row>
    <row r="6" spans="1:19" ht="15.75" x14ac:dyDescent="0.25">
      <c r="A6" s="2" t="s">
        <v>15</v>
      </c>
      <c r="B6" s="2"/>
      <c r="C6" s="2"/>
      <c r="D6" s="2"/>
      <c r="E6" s="2"/>
      <c r="F6" s="2"/>
      <c r="G6" s="86"/>
      <c r="H6" s="87"/>
      <c r="I6" s="87"/>
      <c r="J6" s="87"/>
      <c r="K6" s="87"/>
      <c r="L6" s="87"/>
      <c r="M6" s="87"/>
      <c r="N6" s="87"/>
      <c r="O6" s="87"/>
    </row>
    <row r="7" spans="1:19" ht="15.75" x14ac:dyDescent="0.25">
      <c r="A7" s="2" t="s">
        <v>16</v>
      </c>
      <c r="B7" s="2"/>
      <c r="C7" s="3"/>
      <c r="D7" s="3"/>
      <c r="E7" s="2"/>
      <c r="F7" s="3"/>
      <c r="G7" s="88"/>
      <c r="H7" s="87"/>
      <c r="I7" s="87"/>
      <c r="J7" s="87"/>
      <c r="K7" s="87"/>
      <c r="L7" s="87"/>
      <c r="M7" s="87"/>
      <c r="N7" s="87"/>
      <c r="O7" s="87"/>
    </row>
    <row r="8" spans="1:19" ht="15.75" x14ac:dyDescent="0.25">
      <c r="A8" s="2"/>
      <c r="B8" s="2"/>
      <c r="C8" s="3"/>
      <c r="D8" s="3"/>
      <c r="E8" s="2"/>
      <c r="F8" s="3"/>
      <c r="G8" s="88"/>
      <c r="H8" s="87"/>
      <c r="I8" s="87"/>
      <c r="J8" s="87"/>
      <c r="K8" s="87"/>
      <c r="L8" s="87"/>
      <c r="M8" s="87"/>
      <c r="N8" s="87"/>
      <c r="O8" s="87"/>
    </row>
    <row r="9" spans="1:19" ht="15.75" x14ac:dyDescent="0.25">
      <c r="A9" s="11"/>
      <c r="B9" s="2" t="s">
        <v>37</v>
      </c>
      <c r="C9" s="2"/>
      <c r="D9" s="11"/>
      <c r="E9" s="11"/>
      <c r="F9" s="2"/>
      <c r="G9" s="87"/>
      <c r="H9" s="87"/>
      <c r="I9" s="87"/>
      <c r="J9" s="87"/>
      <c r="K9" s="87"/>
      <c r="L9" s="87"/>
      <c r="M9" s="87"/>
      <c r="N9" s="87"/>
      <c r="O9" s="87"/>
    </row>
    <row r="10" spans="1:19" ht="15.75" x14ac:dyDescent="0.25">
      <c r="A10" s="619" t="s">
        <v>38</v>
      </c>
      <c r="B10" s="619"/>
      <c r="C10" s="619"/>
      <c r="D10" s="619"/>
      <c r="E10" s="619"/>
      <c r="F10" s="619"/>
      <c r="G10" s="619"/>
      <c r="H10" s="619"/>
      <c r="I10" s="619"/>
      <c r="J10" s="619"/>
      <c r="K10" s="619"/>
      <c r="L10" s="619"/>
      <c r="M10" s="619"/>
      <c r="N10" s="619"/>
      <c r="O10" s="620"/>
    </row>
    <row r="11" spans="1:19" ht="15.75" x14ac:dyDescent="0.25">
      <c r="A11" s="621" t="s">
        <v>39</v>
      </c>
      <c r="B11" s="622"/>
      <c r="C11" s="136" t="s">
        <v>40</v>
      </c>
      <c r="D11" s="136" t="s">
        <v>41</v>
      </c>
      <c r="E11" s="136" t="s">
        <v>42</v>
      </c>
      <c r="F11" s="136" t="s">
        <v>43</v>
      </c>
      <c r="G11" s="136" t="s">
        <v>44</v>
      </c>
      <c r="H11" s="136" t="s">
        <v>45</v>
      </c>
      <c r="I11" s="136" t="s">
        <v>46</v>
      </c>
      <c r="J11" s="136" t="s">
        <v>47</v>
      </c>
      <c r="K11" s="136" t="s">
        <v>48</v>
      </c>
      <c r="L11" s="136" t="s">
        <v>49</v>
      </c>
      <c r="M11" s="136" t="s">
        <v>50</v>
      </c>
      <c r="N11" s="136" t="s">
        <v>51</v>
      </c>
      <c r="O11" s="136" t="s">
        <v>26</v>
      </c>
    </row>
    <row r="12" spans="1:19" ht="15.75" x14ac:dyDescent="0.25">
      <c r="A12" s="51" t="s">
        <v>52</v>
      </c>
      <c r="B12" s="90"/>
      <c r="C12" s="137">
        <f>'INGRESOS '!B24</f>
        <v>1202850</v>
      </c>
      <c r="D12" s="137">
        <f>'INGRESOS '!C24</f>
        <v>1202850</v>
      </c>
      <c r="E12" s="137">
        <f>'INGRESOS '!D24</f>
        <v>1202850</v>
      </c>
      <c r="F12" s="137">
        <f>'INGRESOS '!E24</f>
        <v>1239090</v>
      </c>
      <c r="G12" s="137">
        <f>'INGRESOS '!F24</f>
        <v>1239090</v>
      </c>
      <c r="H12" s="137">
        <f>'INGRESOS '!G24</f>
        <v>1239090</v>
      </c>
      <c r="I12" s="137">
        <f>'INGRESOS '!H24</f>
        <v>1278360</v>
      </c>
      <c r="J12" s="137">
        <f>'INGRESOS '!I24</f>
        <v>1278360</v>
      </c>
      <c r="K12" s="137">
        <f>'INGRESOS '!J24</f>
        <v>1278360</v>
      </c>
      <c r="L12" s="137">
        <f>'INGRESOS '!K24</f>
        <v>1320810</v>
      </c>
      <c r="M12" s="137">
        <f>'INGRESOS '!L24</f>
        <v>1320810</v>
      </c>
      <c r="N12" s="137">
        <f>'INGRESOS '!M24</f>
        <v>1320810</v>
      </c>
      <c r="O12" s="138">
        <f>SUM(C12:N12)</f>
        <v>15123330</v>
      </c>
    </row>
    <row r="13" spans="1:19" ht="15.75" x14ac:dyDescent="0.25">
      <c r="A13" s="617" t="s">
        <v>53</v>
      </c>
      <c r="B13" s="623"/>
      <c r="C13" s="139">
        <f>C12</f>
        <v>1202850</v>
      </c>
      <c r="D13" s="139">
        <f t="shared" ref="D13:L13" si="0">D12</f>
        <v>1202850</v>
      </c>
      <c r="E13" s="139">
        <f t="shared" si="0"/>
        <v>1202850</v>
      </c>
      <c r="F13" s="139">
        <f t="shared" si="0"/>
        <v>1239090</v>
      </c>
      <c r="G13" s="139">
        <f t="shared" si="0"/>
        <v>1239090</v>
      </c>
      <c r="H13" s="139">
        <f t="shared" si="0"/>
        <v>1239090</v>
      </c>
      <c r="I13" s="139">
        <f t="shared" si="0"/>
        <v>1278360</v>
      </c>
      <c r="J13" s="139">
        <f t="shared" si="0"/>
        <v>1278360</v>
      </c>
      <c r="K13" s="139">
        <f t="shared" si="0"/>
        <v>1278360</v>
      </c>
      <c r="L13" s="139">
        <f t="shared" si="0"/>
        <v>1320810</v>
      </c>
      <c r="M13" s="139">
        <f t="shared" ref="M13" si="1">M12</f>
        <v>1320810</v>
      </c>
      <c r="N13" s="139">
        <f t="shared" ref="N13" si="2">N12</f>
        <v>1320810</v>
      </c>
      <c r="O13" s="226">
        <f>SUM(C13:N13)</f>
        <v>15123330</v>
      </c>
    </row>
    <row r="14" spans="1:19" ht="15.75" x14ac:dyDescent="0.25">
      <c r="A14" s="617" t="s">
        <v>54</v>
      </c>
      <c r="B14" s="618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225"/>
      <c r="P14" s="109"/>
      <c r="S14" s="127"/>
    </row>
    <row r="15" spans="1:19" ht="15.75" x14ac:dyDescent="0.25">
      <c r="A15" s="95" t="s">
        <v>55</v>
      </c>
      <c r="B15" s="13"/>
      <c r="C15" s="140">
        <f>'COSTOS '!B4</f>
        <v>193560</v>
      </c>
      <c r="D15" s="140">
        <f>'COSTOS '!C4</f>
        <v>197431.2</v>
      </c>
      <c r="E15" s="140">
        <f>'COSTOS '!D4</f>
        <v>193482.576</v>
      </c>
      <c r="F15" s="140">
        <f>'COSTOS '!E4</f>
        <v>199287.05328000002</v>
      </c>
      <c r="G15" s="140">
        <f>'COSTOS '!F4</f>
        <v>203272.79434560004</v>
      </c>
      <c r="H15" s="140">
        <f>'COSTOS '!G4</f>
        <v>197174.61051523199</v>
      </c>
      <c r="I15" s="140">
        <f>'COSTOS '!H4</f>
        <v>195202.86441007967</v>
      </c>
      <c r="J15" s="140">
        <f>'COSTOS '!I4</f>
        <v>199106.92169828125</v>
      </c>
      <c r="K15" s="140">
        <f>'COSTOS '!J4</f>
        <v>195124.7832643156</v>
      </c>
      <c r="L15" s="140">
        <f>'COSTOS '!K4</f>
        <v>193173.5354316725</v>
      </c>
      <c r="M15" s="140">
        <f>'COSTOS '!L4</f>
        <v>197037.00614030589</v>
      </c>
      <c r="N15" s="140">
        <f>'COSTOS '!M4</f>
        <v>200977.74626311206</v>
      </c>
      <c r="O15" s="140">
        <f>SUM(C15:N15)</f>
        <v>2364831.0913485996</v>
      </c>
      <c r="P15" s="183" t="s">
        <v>254</v>
      </c>
    </row>
    <row r="16" spans="1:19" ht="15.75" x14ac:dyDescent="0.25">
      <c r="A16" s="95" t="s">
        <v>56</v>
      </c>
      <c r="B16" s="13"/>
      <c r="C16" s="141">
        <f>'COSTOS '!B16</f>
        <v>207422.45609599998</v>
      </c>
      <c r="D16" s="141">
        <f>'COSTOS '!C16</f>
        <v>207422.45609599998</v>
      </c>
      <c r="E16" s="141">
        <f>'COSTOS '!D16</f>
        <v>207422.45609599998</v>
      </c>
      <c r="F16" s="141">
        <f>'COSTOS '!E16</f>
        <v>207422.45609599998</v>
      </c>
      <c r="G16" s="141">
        <f>'COSTOS '!F16</f>
        <v>207422.45609599998</v>
      </c>
      <c r="H16" s="141">
        <f>'COSTOS '!G16</f>
        <v>207422.45609599998</v>
      </c>
      <c r="I16" s="141">
        <f>'COSTOS '!H16</f>
        <v>207422.45609599998</v>
      </c>
      <c r="J16" s="141">
        <f>'COSTOS '!I16</f>
        <v>207422.45609599998</v>
      </c>
      <c r="K16" s="141">
        <f>'COSTOS '!J16</f>
        <v>207422.45609599998</v>
      </c>
      <c r="L16" s="141">
        <f>'COSTOS '!K16</f>
        <v>207422.45609599998</v>
      </c>
      <c r="M16" s="141">
        <f>'COSTOS '!L16</f>
        <v>207422.45609599998</v>
      </c>
      <c r="N16" s="141">
        <f>'COSTOS '!M16</f>
        <v>207422.45609599998</v>
      </c>
      <c r="O16" s="140">
        <f>SUM(C16:N16)</f>
        <v>2489069.473152</v>
      </c>
      <c r="P16" s="184">
        <f>O15+O16</f>
        <v>4853900.5645006001</v>
      </c>
    </row>
    <row r="17" spans="1:19" ht="15.75" x14ac:dyDescent="0.25">
      <c r="A17" s="12" t="s">
        <v>57</v>
      </c>
      <c r="B17" s="21"/>
      <c r="C17" s="142">
        <f>C12-(C15+C16)</f>
        <v>801867.54390399996</v>
      </c>
      <c r="D17" s="142">
        <f t="shared" ref="D17:N17" si="3">D12-(D15+D16)</f>
        <v>797996.34390400001</v>
      </c>
      <c r="E17" s="142">
        <f t="shared" si="3"/>
        <v>801944.96790400008</v>
      </c>
      <c r="F17" s="142">
        <f t="shared" si="3"/>
        <v>832380.49062399997</v>
      </c>
      <c r="G17" s="142">
        <f t="shared" si="3"/>
        <v>828394.74955840001</v>
      </c>
      <c r="H17" s="142">
        <f t="shared" si="3"/>
        <v>834492.933388768</v>
      </c>
      <c r="I17" s="142">
        <f t="shared" si="3"/>
        <v>875734.67949392041</v>
      </c>
      <c r="J17" s="142">
        <f t="shared" si="3"/>
        <v>871830.62220571877</v>
      </c>
      <c r="K17" s="142">
        <f t="shared" si="3"/>
        <v>875812.76063968439</v>
      </c>
      <c r="L17" s="142">
        <f t="shared" si="3"/>
        <v>920214.00847232749</v>
      </c>
      <c r="M17" s="142">
        <f t="shared" si="3"/>
        <v>916350.53776369407</v>
      </c>
      <c r="N17" s="142">
        <f t="shared" si="3"/>
        <v>912409.79764088802</v>
      </c>
      <c r="O17" s="142">
        <f>O12-(O15+O16)</f>
        <v>10269429.4354994</v>
      </c>
      <c r="P17" s="109"/>
      <c r="Q17" s="109"/>
    </row>
    <row r="18" spans="1:19" s="181" customFormat="1" ht="15.75" x14ac:dyDescent="0.25">
      <c r="A18" s="176" t="s">
        <v>58</v>
      </c>
      <c r="B18" s="177"/>
      <c r="C18" s="178">
        <f>+C17</f>
        <v>801867.54390399996</v>
      </c>
      <c r="D18" s="179">
        <f>+D17+C18</f>
        <v>1599863.887808</v>
      </c>
      <c r="E18" s="179">
        <f>+E17+D18</f>
        <v>2401808.8557120003</v>
      </c>
      <c r="F18" s="179">
        <f>+F17+E18</f>
        <v>3234189.3463360001</v>
      </c>
      <c r="G18" s="179">
        <f t="shared" ref="G18:N18" si="4">+G17+F18</f>
        <v>4062584.0958944</v>
      </c>
      <c r="H18" s="179">
        <f>+H17+G18</f>
        <v>4897077.0292831678</v>
      </c>
      <c r="I18" s="179">
        <f t="shared" si="4"/>
        <v>5772811.7087770887</v>
      </c>
      <c r="J18" s="179">
        <f t="shared" si="4"/>
        <v>6644642.3309828071</v>
      </c>
      <c r="K18" s="179">
        <f t="shared" si="4"/>
        <v>7520455.0916224914</v>
      </c>
      <c r="L18" s="179">
        <f t="shared" si="4"/>
        <v>8440669.1000948194</v>
      </c>
      <c r="M18" s="179">
        <f t="shared" si="4"/>
        <v>9357019.6378585137</v>
      </c>
      <c r="N18" s="179">
        <f t="shared" si="4"/>
        <v>10269429.435499402</v>
      </c>
      <c r="O18" s="179">
        <f>+N18</f>
        <v>10269429.435499402</v>
      </c>
      <c r="P18" s="180"/>
      <c r="S18" s="182"/>
    </row>
    <row r="19" spans="1:19" ht="15" x14ac:dyDescent="0.2">
      <c r="A19" s="11"/>
      <c r="B19" s="11"/>
      <c r="C19" s="68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10"/>
      <c r="R19" s="109"/>
    </row>
    <row r="20" spans="1:19" ht="15" x14ac:dyDescent="0.2">
      <c r="A20" s="11"/>
      <c r="B20" s="11"/>
      <c r="C20" s="68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09"/>
    </row>
    <row r="21" spans="1:19" ht="15" x14ac:dyDescent="0.2">
      <c r="A21" s="11"/>
      <c r="B21" s="11"/>
      <c r="C21" s="68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109"/>
      <c r="Q21" s="109"/>
    </row>
    <row r="22" spans="1:19" ht="15.75" x14ac:dyDescent="0.25">
      <c r="A22" s="2" t="s">
        <v>59</v>
      </c>
      <c r="B22" s="11"/>
      <c r="C22" s="68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111"/>
      <c r="Q22" s="109"/>
    </row>
    <row r="23" spans="1:19" ht="15.75" x14ac:dyDescent="0.25">
      <c r="A23" s="2"/>
      <c r="B23" s="11"/>
      <c r="C23" s="68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109"/>
      <c r="Q23" s="109"/>
    </row>
    <row r="24" spans="1:19" ht="15.75" x14ac:dyDescent="0.25">
      <c r="A24" s="624" t="s">
        <v>60</v>
      </c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109"/>
      <c r="Q24" s="109"/>
    </row>
    <row r="25" spans="1:19" ht="15.75" x14ac:dyDescent="0.25">
      <c r="A25" s="621" t="s">
        <v>39</v>
      </c>
      <c r="B25" s="622"/>
      <c r="C25" s="89" t="s">
        <v>40</v>
      </c>
      <c r="D25" s="89" t="s">
        <v>41</v>
      </c>
      <c r="E25" s="89" t="s">
        <v>42</v>
      </c>
      <c r="F25" s="89" t="s">
        <v>43</v>
      </c>
      <c r="G25" s="89" t="s">
        <v>44</v>
      </c>
      <c r="H25" s="89" t="s">
        <v>45</v>
      </c>
      <c r="I25" s="89" t="s">
        <v>46</v>
      </c>
      <c r="J25" s="89" t="s">
        <v>47</v>
      </c>
      <c r="K25" s="89" t="s">
        <v>48</v>
      </c>
      <c r="L25" s="89" t="s">
        <v>49</v>
      </c>
      <c r="M25" s="89" t="s">
        <v>50</v>
      </c>
      <c r="N25" s="89" t="s">
        <v>51</v>
      </c>
      <c r="O25" s="89" t="s">
        <v>26</v>
      </c>
      <c r="P25" s="109"/>
      <c r="Q25" s="109"/>
    </row>
    <row r="26" spans="1:19" ht="15.75" x14ac:dyDescent="0.25">
      <c r="A26" s="51" t="s">
        <v>52</v>
      </c>
      <c r="B26" s="90"/>
      <c r="C26" s="168">
        <f>'INGRESOS '!B44</f>
        <v>1439682.9000000001</v>
      </c>
      <c r="D26" s="168">
        <f>'INGRESOS '!C44</f>
        <v>1439682.9000000001</v>
      </c>
      <c r="E26" s="168">
        <f>'INGRESOS '!D44</f>
        <v>1439682.9000000001</v>
      </c>
      <c r="F26" s="168">
        <f>'INGRESOS '!E44</f>
        <v>1439682.9000000001</v>
      </c>
      <c r="G26" s="168">
        <f>'INGRESOS '!F44</f>
        <v>1439682.9000000001</v>
      </c>
      <c r="H26" s="168">
        <f>'INGRESOS '!G44</f>
        <v>1439682.9000000001</v>
      </c>
      <c r="I26" s="168">
        <f>'INGRESOS '!H44</f>
        <v>1439682.9000000001</v>
      </c>
      <c r="J26" s="168">
        <f>'INGRESOS '!I44</f>
        <v>1439682.9000000001</v>
      </c>
      <c r="K26" s="168">
        <f>'INGRESOS '!J44</f>
        <v>1439682.9000000001</v>
      </c>
      <c r="L26" s="168">
        <f>'INGRESOS '!K44</f>
        <v>1439682.9000000001</v>
      </c>
      <c r="M26" s="168">
        <f>'INGRESOS '!L44</f>
        <v>1439682.9000000001</v>
      </c>
      <c r="N26" s="168">
        <f>'INGRESOS '!M44</f>
        <v>1439682.9000000001</v>
      </c>
      <c r="O26" s="226">
        <f>SUM(C26:N26)</f>
        <v>17276194.800000001</v>
      </c>
      <c r="P26" s="109"/>
      <c r="Q26" s="109"/>
    </row>
    <row r="27" spans="1:19" ht="15.75" x14ac:dyDescent="0.25">
      <c r="A27" s="617" t="s">
        <v>53</v>
      </c>
      <c r="B27" s="623"/>
      <c r="C27" s="224">
        <f>C26</f>
        <v>1439682.9000000001</v>
      </c>
      <c r="D27" s="224">
        <f t="shared" ref="D27:N27" si="5">D26</f>
        <v>1439682.9000000001</v>
      </c>
      <c r="E27" s="224">
        <f>E26</f>
        <v>1439682.9000000001</v>
      </c>
      <c r="F27" s="224">
        <f t="shared" si="5"/>
        <v>1439682.9000000001</v>
      </c>
      <c r="G27" s="224">
        <f t="shared" si="5"/>
        <v>1439682.9000000001</v>
      </c>
      <c r="H27" s="224">
        <f t="shared" si="5"/>
        <v>1439682.9000000001</v>
      </c>
      <c r="I27" s="224">
        <f t="shared" si="5"/>
        <v>1439682.9000000001</v>
      </c>
      <c r="J27" s="224">
        <f t="shared" si="5"/>
        <v>1439682.9000000001</v>
      </c>
      <c r="K27" s="224">
        <f t="shared" si="5"/>
        <v>1439682.9000000001</v>
      </c>
      <c r="L27" s="224">
        <f t="shared" si="5"/>
        <v>1439682.9000000001</v>
      </c>
      <c r="M27" s="224">
        <f t="shared" si="5"/>
        <v>1439682.9000000001</v>
      </c>
      <c r="N27" s="224">
        <f t="shared" si="5"/>
        <v>1439682.9000000001</v>
      </c>
      <c r="O27" s="226">
        <f>SUM(C27:N27)</f>
        <v>17276194.800000001</v>
      </c>
      <c r="P27" s="109"/>
      <c r="Q27" s="109"/>
    </row>
    <row r="28" spans="1:19" ht="15.75" x14ac:dyDescent="0.25">
      <c r="A28" s="626"/>
      <c r="B28" s="627"/>
      <c r="C28" s="92"/>
      <c r="D28" s="93"/>
      <c r="E28" s="93"/>
      <c r="F28" s="94"/>
      <c r="G28" s="94"/>
      <c r="H28" s="94"/>
      <c r="I28" s="94"/>
      <c r="J28" s="94"/>
      <c r="K28" s="91">
        <v>0</v>
      </c>
      <c r="L28" s="91">
        <v>0</v>
      </c>
      <c r="M28" s="91">
        <f>+M26*A28</f>
        <v>0</v>
      </c>
      <c r="N28" s="91"/>
      <c r="O28" s="107">
        <f>+J28</f>
        <v>0</v>
      </c>
      <c r="P28" s="109"/>
      <c r="Q28" s="109"/>
    </row>
    <row r="29" spans="1:19" ht="15.75" x14ac:dyDescent="0.25">
      <c r="A29" s="617" t="s">
        <v>54</v>
      </c>
      <c r="B29" s="61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108"/>
      <c r="P29" s="109"/>
      <c r="Q29" s="109"/>
    </row>
    <row r="30" spans="1:19" ht="15.75" x14ac:dyDescent="0.25">
      <c r="A30" s="95" t="s">
        <v>55</v>
      </c>
      <c r="B30" s="13"/>
      <c r="C30" s="161">
        <f>'COSTOS '!B57</f>
        <v>200977.74626311206</v>
      </c>
      <c r="D30" s="161">
        <f>'COSTOS '!C57</f>
        <v>204997.30118837435</v>
      </c>
      <c r="E30" s="161">
        <f>'COSTOS '!D57</f>
        <v>200897.35516460685</v>
      </c>
      <c r="F30" s="161">
        <f>'COSTOS '!E57</f>
        <v>206924.27581954506</v>
      </c>
      <c r="G30" s="161">
        <f>'COSTOS '!F57</f>
        <v>211062.76133593588</v>
      </c>
      <c r="H30" s="161">
        <f>'COSTOS '!G57</f>
        <v>204730.87849585788</v>
      </c>
      <c r="I30" s="161">
        <f>'COSTOS '!H57</f>
        <v>202683.56971089929</v>
      </c>
      <c r="J30" s="161">
        <f>'COSTOS '!I57</f>
        <v>206737.24110511722</v>
      </c>
      <c r="K30" s="161">
        <f>'COSTOS '!J57</f>
        <v>202602.49628301495</v>
      </c>
      <c r="L30" s="161">
        <f>'COSTOS '!K57</f>
        <v>200576.47132018479</v>
      </c>
      <c r="M30" s="161">
        <f>'COSTOS '!L57</f>
        <v>204588.00074658848</v>
      </c>
      <c r="N30" s="161">
        <f>'COSTOS '!M57</f>
        <v>208679.76076152027</v>
      </c>
      <c r="O30" s="161">
        <f>'COSTOS '!N57</f>
        <v>2455457.8581947563</v>
      </c>
      <c r="P30" s="183" t="s">
        <v>254</v>
      </c>
      <c r="Q30" s="109"/>
    </row>
    <row r="31" spans="1:19" ht="15.75" x14ac:dyDescent="0.25">
      <c r="A31" s="95" t="s">
        <v>56</v>
      </c>
      <c r="B31" s="13"/>
      <c r="C31" s="171">
        <f>'COSTOS '!B69</f>
        <v>207422.45609599998</v>
      </c>
      <c r="D31" s="171">
        <f>'COSTOS '!C69</f>
        <v>207422.45609599998</v>
      </c>
      <c r="E31" s="171">
        <f>'COSTOS '!D69</f>
        <v>207422.45609599998</v>
      </c>
      <c r="F31" s="171">
        <f>'COSTOS '!E69</f>
        <v>207422.45609599998</v>
      </c>
      <c r="G31" s="171">
        <f>'COSTOS '!F69</f>
        <v>207422.45609599998</v>
      </c>
      <c r="H31" s="171">
        <f>'COSTOS '!G69</f>
        <v>207422.45609599998</v>
      </c>
      <c r="I31" s="171">
        <f>'COSTOS '!H69</f>
        <v>207422.45609599998</v>
      </c>
      <c r="J31" s="171">
        <f>'COSTOS '!I69</f>
        <v>207422.45609599998</v>
      </c>
      <c r="K31" s="171">
        <f>'COSTOS '!J69</f>
        <v>207422.45609599998</v>
      </c>
      <c r="L31" s="171">
        <f>'COSTOS '!K69</f>
        <v>207422.45609599998</v>
      </c>
      <c r="M31" s="171">
        <f>'COSTOS '!L69</f>
        <v>207422.45609599998</v>
      </c>
      <c r="N31" s="171">
        <f>'COSTOS '!M69</f>
        <v>207422.45609599998</v>
      </c>
      <c r="O31" s="171">
        <f>'COSTOS '!N69</f>
        <v>2489069.473152</v>
      </c>
      <c r="P31" s="184">
        <f>O30+O31</f>
        <v>4944527.3313467558</v>
      </c>
      <c r="Q31" s="109"/>
    </row>
    <row r="32" spans="1:19" ht="15.75" x14ac:dyDescent="0.25">
      <c r="A32" s="12" t="s">
        <v>57</v>
      </c>
      <c r="B32" s="21"/>
      <c r="C32" s="96">
        <f>C26-(C30+C31)</f>
        <v>1031282.6976408882</v>
      </c>
      <c r="D32" s="96">
        <f t="shared" ref="D32:O32" si="6">D26-(D30+D31)</f>
        <v>1027263.1427156258</v>
      </c>
      <c r="E32" s="96">
        <f t="shared" si="6"/>
        <v>1031363.0887393933</v>
      </c>
      <c r="F32" s="96">
        <f t="shared" si="6"/>
        <v>1025336.1680844551</v>
      </c>
      <c r="G32" s="96">
        <f t="shared" si="6"/>
        <v>1021197.6825680643</v>
      </c>
      <c r="H32" s="96">
        <f t="shared" si="6"/>
        <v>1027529.5654081423</v>
      </c>
      <c r="I32" s="96">
        <f t="shared" si="6"/>
        <v>1029576.8741931008</v>
      </c>
      <c r="J32" s="96">
        <f t="shared" si="6"/>
        <v>1025523.202798883</v>
      </c>
      <c r="K32" s="96">
        <f t="shared" si="6"/>
        <v>1029657.9476209852</v>
      </c>
      <c r="L32" s="96">
        <f t="shared" si="6"/>
        <v>1031683.9725838153</v>
      </c>
      <c r="M32" s="96">
        <f t="shared" si="6"/>
        <v>1027672.4431574116</v>
      </c>
      <c r="N32" s="96">
        <f t="shared" si="6"/>
        <v>1023580.6831424799</v>
      </c>
      <c r="O32" s="96">
        <f t="shared" si="6"/>
        <v>12331667.468653245</v>
      </c>
      <c r="P32" s="109"/>
      <c r="Q32" s="109"/>
    </row>
    <row r="33" spans="1:17" s="175" customFormat="1" ht="15.75" x14ac:dyDescent="0.25">
      <c r="A33" s="172" t="s">
        <v>58</v>
      </c>
      <c r="B33" s="173"/>
      <c r="C33" s="174">
        <f>+C32</f>
        <v>1031282.6976408882</v>
      </c>
      <c r="D33" s="174">
        <f>+D32+C33</f>
        <v>2058545.8403565139</v>
      </c>
      <c r="E33" s="174">
        <f>+E32+D33</f>
        <v>3089908.9290959071</v>
      </c>
      <c r="F33" s="174">
        <f t="shared" ref="F33:N33" si="7">+F32+E33</f>
        <v>4115245.0971803623</v>
      </c>
      <c r="G33" s="174">
        <f t="shared" si="7"/>
        <v>5136442.7797484268</v>
      </c>
      <c r="H33" s="174">
        <f>+H32+G33</f>
        <v>6163972.345156569</v>
      </c>
      <c r="I33" s="174">
        <f t="shared" si="7"/>
        <v>7193549.2193496702</v>
      </c>
      <c r="J33" s="174">
        <f t="shared" si="7"/>
        <v>8219072.4221485537</v>
      </c>
      <c r="K33" s="174">
        <f t="shared" si="7"/>
        <v>9248730.3697695397</v>
      </c>
      <c r="L33" s="174">
        <f t="shared" si="7"/>
        <v>10280414.342353355</v>
      </c>
      <c r="M33" s="174">
        <f t="shared" si="7"/>
        <v>11308086.785510767</v>
      </c>
      <c r="N33" s="174">
        <f t="shared" si="7"/>
        <v>12331667.468653247</v>
      </c>
      <c r="O33" s="179">
        <f>+N33</f>
        <v>12331667.468653247</v>
      </c>
    </row>
    <row r="34" spans="1:17" x14ac:dyDescent="0.2">
      <c r="A34" s="86"/>
      <c r="B34" s="86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12"/>
    </row>
    <row r="35" spans="1:17" ht="15.75" x14ac:dyDescent="0.25">
      <c r="A35" s="628" t="s">
        <v>252</v>
      </c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109"/>
      <c r="Q35" s="109"/>
    </row>
    <row r="36" spans="1:17" ht="15.75" x14ac:dyDescent="0.25">
      <c r="A36" s="621" t="s">
        <v>39</v>
      </c>
      <c r="B36" s="622"/>
      <c r="C36" s="89" t="s">
        <v>40</v>
      </c>
      <c r="D36" s="89" t="s">
        <v>41</v>
      </c>
      <c r="E36" s="89" t="s">
        <v>42</v>
      </c>
      <c r="F36" s="89" t="s">
        <v>43</v>
      </c>
      <c r="G36" s="89" t="s">
        <v>44</v>
      </c>
      <c r="H36" s="89" t="s">
        <v>45</v>
      </c>
      <c r="I36" s="89" t="s">
        <v>46</v>
      </c>
      <c r="J36" s="89" t="s">
        <v>47</v>
      </c>
      <c r="K36" s="89" t="s">
        <v>48</v>
      </c>
      <c r="L36" s="89" t="s">
        <v>49</v>
      </c>
      <c r="M36" s="89" t="s">
        <v>50</v>
      </c>
      <c r="N36" s="89" t="s">
        <v>51</v>
      </c>
      <c r="O36" s="89" t="s">
        <v>26</v>
      </c>
      <c r="P36" s="109"/>
      <c r="Q36" s="109"/>
    </row>
    <row r="37" spans="1:17" ht="15.75" x14ac:dyDescent="0.25">
      <c r="A37" s="51" t="s">
        <v>52</v>
      </c>
      <c r="B37" s="90"/>
      <c r="C37" s="168">
        <f>'INGRESOS '!B64</f>
        <v>1569254.3610000005</v>
      </c>
      <c r="D37" s="168">
        <f>'INGRESOS '!C64</f>
        <v>1569254.3610000005</v>
      </c>
      <c r="E37" s="168">
        <f>'INGRESOS '!D64</f>
        <v>1569254.3610000005</v>
      </c>
      <c r="F37" s="168">
        <f>'INGRESOS '!E64</f>
        <v>1569254.3610000005</v>
      </c>
      <c r="G37" s="168">
        <f>'INGRESOS '!F64</f>
        <v>1569254.3610000005</v>
      </c>
      <c r="H37" s="168">
        <f>'INGRESOS '!G64</f>
        <v>1569254.3610000005</v>
      </c>
      <c r="I37" s="168">
        <f>'INGRESOS '!H64</f>
        <v>1569254.3610000005</v>
      </c>
      <c r="J37" s="168">
        <f>'INGRESOS '!I64</f>
        <v>1569254.3610000005</v>
      </c>
      <c r="K37" s="168">
        <f>'INGRESOS '!J64</f>
        <v>1569254.3610000005</v>
      </c>
      <c r="L37" s="168">
        <f>'INGRESOS '!K64</f>
        <v>1569254.3610000005</v>
      </c>
      <c r="M37" s="168">
        <f>'INGRESOS '!L64</f>
        <v>1569254.3610000005</v>
      </c>
      <c r="N37" s="168">
        <f>'INGRESOS '!M64</f>
        <v>1569254.3610000005</v>
      </c>
      <c r="O37" s="226">
        <f>SUM(C37:N37)</f>
        <v>18831052.33200001</v>
      </c>
      <c r="P37" s="109"/>
      <c r="Q37" s="109"/>
    </row>
    <row r="38" spans="1:17" ht="15.75" x14ac:dyDescent="0.25">
      <c r="A38" s="617" t="s">
        <v>53</v>
      </c>
      <c r="B38" s="623"/>
      <c r="C38" s="224">
        <f>C37</f>
        <v>1569254.3610000005</v>
      </c>
      <c r="D38" s="224">
        <f t="shared" ref="D38:N38" si="8">D37</f>
        <v>1569254.3610000005</v>
      </c>
      <c r="E38" s="224">
        <f t="shared" si="8"/>
        <v>1569254.3610000005</v>
      </c>
      <c r="F38" s="224">
        <f t="shared" si="8"/>
        <v>1569254.3610000005</v>
      </c>
      <c r="G38" s="224">
        <f t="shared" si="8"/>
        <v>1569254.3610000005</v>
      </c>
      <c r="H38" s="224">
        <f t="shared" si="8"/>
        <v>1569254.3610000005</v>
      </c>
      <c r="I38" s="224">
        <f t="shared" si="8"/>
        <v>1569254.3610000005</v>
      </c>
      <c r="J38" s="224">
        <f t="shared" si="8"/>
        <v>1569254.3610000005</v>
      </c>
      <c r="K38" s="224">
        <f t="shared" si="8"/>
        <v>1569254.3610000005</v>
      </c>
      <c r="L38" s="224">
        <f t="shared" si="8"/>
        <v>1569254.3610000005</v>
      </c>
      <c r="M38" s="224">
        <f t="shared" si="8"/>
        <v>1569254.3610000005</v>
      </c>
      <c r="N38" s="224">
        <f t="shared" si="8"/>
        <v>1569254.3610000005</v>
      </c>
      <c r="O38" s="226">
        <f>SUM(C38:N38)</f>
        <v>18831052.33200001</v>
      </c>
      <c r="P38" s="109"/>
      <c r="Q38" s="109"/>
    </row>
    <row r="39" spans="1:17" ht="15.75" x14ac:dyDescent="0.25">
      <c r="A39" s="626"/>
      <c r="B39" s="627"/>
      <c r="C39" s="92"/>
      <c r="D39" s="93"/>
      <c r="E39" s="93"/>
      <c r="F39" s="94"/>
      <c r="G39" s="94"/>
      <c r="H39" s="94"/>
      <c r="I39" s="94"/>
      <c r="J39" s="94"/>
      <c r="K39" s="91">
        <v>0</v>
      </c>
      <c r="L39" s="91">
        <v>0</v>
      </c>
      <c r="M39" s="91">
        <f>+M37*A39</f>
        <v>0</v>
      </c>
      <c r="N39" s="91"/>
      <c r="O39" s="107">
        <f>+J39</f>
        <v>0</v>
      </c>
      <c r="P39" s="109"/>
      <c r="Q39" s="109"/>
    </row>
    <row r="40" spans="1:17" ht="15.75" x14ac:dyDescent="0.25">
      <c r="A40" s="617" t="s">
        <v>54</v>
      </c>
      <c r="B40" s="61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108"/>
      <c r="P40" s="109"/>
      <c r="Q40" s="109"/>
    </row>
    <row r="41" spans="1:17" s="160" customFormat="1" ht="15.75" x14ac:dyDescent="0.25">
      <c r="A41" s="169" t="s">
        <v>55</v>
      </c>
      <c r="B41" s="170"/>
      <c r="C41" s="161">
        <f>'COSTOS '!B110</f>
        <v>208679.76076152027</v>
      </c>
      <c r="D41" s="161">
        <f>'COSTOS '!C110</f>
        <v>212853.35597675067</v>
      </c>
      <c r="E41" s="161">
        <f>'COSTOS '!D110</f>
        <v>208596.28885721558</v>
      </c>
      <c r="F41" s="161">
        <f>'COSTOS '!E110</f>
        <v>214854.17752293212</v>
      </c>
      <c r="G41" s="161">
        <f>'COSTOS '!F110</f>
        <v>219151.26107339072</v>
      </c>
      <c r="H41" s="161">
        <f>'COSTOS '!G110</f>
        <v>212576.72324118903</v>
      </c>
      <c r="I41" s="161">
        <f>'COSTOS '!H110</f>
        <v>210450.95600877717</v>
      </c>
      <c r="J41" s="161">
        <f>'COSTOS '!I110</f>
        <v>214659.97512895265</v>
      </c>
      <c r="K41" s="161">
        <f>'COSTOS '!J110</f>
        <v>210366.77562637362</v>
      </c>
      <c r="L41" s="161">
        <f>'COSTOS '!K110</f>
        <v>208263.1078701099</v>
      </c>
      <c r="M41" s="161">
        <f>'COSTOS '!L110</f>
        <v>212428.37002751208</v>
      </c>
      <c r="N41" s="161">
        <f>'COSTOS '!M110</f>
        <v>216676.93742806235</v>
      </c>
      <c r="O41" s="161">
        <f>SUM(C41:N41)</f>
        <v>2549557.6895227865</v>
      </c>
      <c r="P41" s="183" t="s">
        <v>254</v>
      </c>
    </row>
    <row r="42" spans="1:17" s="160" customFormat="1" ht="15.75" x14ac:dyDescent="0.25">
      <c r="A42" s="169" t="s">
        <v>56</v>
      </c>
      <c r="B42" s="170"/>
      <c r="C42" s="171">
        <f>'COSTOS '!B122</f>
        <v>207422.45609599998</v>
      </c>
      <c r="D42" s="171">
        <f>'COSTOS '!C122</f>
        <v>207422.45609599998</v>
      </c>
      <c r="E42" s="171">
        <f>'COSTOS '!D122</f>
        <v>207422.45609599998</v>
      </c>
      <c r="F42" s="171">
        <f>'COSTOS '!E122</f>
        <v>207422.45609599998</v>
      </c>
      <c r="G42" s="171">
        <f>'COSTOS '!F122</f>
        <v>207422.45609599998</v>
      </c>
      <c r="H42" s="171">
        <f>'COSTOS '!G122</f>
        <v>207422.45609599998</v>
      </c>
      <c r="I42" s="171">
        <f>'COSTOS '!H122</f>
        <v>207422.45609599998</v>
      </c>
      <c r="J42" s="171">
        <f>'COSTOS '!I122</f>
        <v>207422.45609599998</v>
      </c>
      <c r="K42" s="171">
        <f>'COSTOS '!J122</f>
        <v>207422.45609599998</v>
      </c>
      <c r="L42" s="171">
        <f>'COSTOS '!K122</f>
        <v>207422.45609599998</v>
      </c>
      <c r="M42" s="171">
        <f>'COSTOS '!L122</f>
        <v>207422.45609599998</v>
      </c>
      <c r="N42" s="171">
        <f>'COSTOS '!M122</f>
        <v>207422.45609599998</v>
      </c>
      <c r="O42" s="171">
        <f>'COSTOS '!N122</f>
        <v>2489069.473152</v>
      </c>
      <c r="P42" s="184">
        <f>O41+O42</f>
        <v>5038627.1626747865</v>
      </c>
    </row>
    <row r="43" spans="1:17" ht="15.75" x14ac:dyDescent="0.25">
      <c r="A43" s="12" t="s">
        <v>57</v>
      </c>
      <c r="B43" s="21"/>
      <c r="C43" s="96">
        <f>C37-(C41+C42)</f>
        <v>1153152.1441424801</v>
      </c>
      <c r="D43" s="96">
        <f t="shared" ref="D43:O43" si="9">D37-(D41+D42)</f>
        <v>1148978.5489272499</v>
      </c>
      <c r="E43" s="96">
        <f t="shared" si="9"/>
        <v>1153235.6160467849</v>
      </c>
      <c r="F43" s="96">
        <f t="shared" si="9"/>
        <v>1146977.7273810683</v>
      </c>
      <c r="G43" s="96">
        <f t="shared" si="9"/>
        <v>1142680.6438306097</v>
      </c>
      <c r="H43" s="96">
        <f t="shared" si="9"/>
        <v>1149255.1816628114</v>
      </c>
      <c r="I43" s="96">
        <f t="shared" si="9"/>
        <v>1151380.9488952234</v>
      </c>
      <c r="J43" s="96">
        <f t="shared" si="9"/>
        <v>1147171.9297750478</v>
      </c>
      <c r="K43" s="96">
        <f t="shared" si="9"/>
        <v>1151465.129277627</v>
      </c>
      <c r="L43" s="96">
        <f t="shared" si="9"/>
        <v>1153568.7970338906</v>
      </c>
      <c r="M43" s="96">
        <f t="shared" si="9"/>
        <v>1149403.5348764884</v>
      </c>
      <c r="N43" s="96">
        <f t="shared" si="9"/>
        <v>1145154.9674759381</v>
      </c>
      <c r="O43" s="96">
        <f t="shared" si="9"/>
        <v>13792425.169325223</v>
      </c>
      <c r="P43" s="109"/>
      <c r="Q43" s="109"/>
    </row>
    <row r="44" spans="1:17" s="175" customFormat="1" ht="15.75" x14ac:dyDescent="0.25">
      <c r="A44" s="172" t="s">
        <v>58</v>
      </c>
      <c r="B44" s="173"/>
      <c r="C44" s="174">
        <f>+C43</f>
        <v>1153152.1441424801</v>
      </c>
      <c r="D44" s="174">
        <f>+D43+C44</f>
        <v>2302130.69306973</v>
      </c>
      <c r="E44" s="174">
        <f>+E43+D44</f>
        <v>3455366.3091165149</v>
      </c>
      <c r="F44" s="174">
        <f t="shared" ref="F44" si="10">+F43+E44</f>
        <v>4602344.0364975836</v>
      </c>
      <c r="G44" s="174">
        <f t="shared" ref="G44" si="11">+G43+F44</f>
        <v>5745024.6803281931</v>
      </c>
      <c r="H44" s="174">
        <f>+H43+G44</f>
        <v>6894279.861991005</v>
      </c>
      <c r="I44" s="174">
        <f t="shared" ref="I44" si="12">+I43+H44</f>
        <v>8045660.8108862285</v>
      </c>
      <c r="J44" s="174">
        <f t="shared" ref="J44" si="13">+J43+I44</f>
        <v>9192832.7406612765</v>
      </c>
      <c r="K44" s="174">
        <f t="shared" ref="K44" si="14">+K43+J44</f>
        <v>10344297.869938903</v>
      </c>
      <c r="L44" s="174">
        <f t="shared" ref="L44" si="15">+L43+K44</f>
        <v>11497866.666972794</v>
      </c>
      <c r="M44" s="174">
        <f t="shared" ref="M44" si="16">+M43+L44</f>
        <v>12647270.201849282</v>
      </c>
      <c r="N44" s="174">
        <f t="shared" ref="N44" si="17">+N43+M44</f>
        <v>13792425.169325219</v>
      </c>
      <c r="O44" s="179">
        <f>+N44</f>
        <v>13792425.169325219</v>
      </c>
    </row>
    <row r="46" spans="1:17" ht="15.75" x14ac:dyDescent="0.25">
      <c r="A46" s="630" t="s">
        <v>253</v>
      </c>
      <c r="B46" s="630"/>
      <c r="C46" s="630"/>
      <c r="D46" s="630"/>
      <c r="E46" s="630"/>
      <c r="F46" s="630"/>
      <c r="G46" s="630"/>
      <c r="H46" s="630"/>
      <c r="I46" s="630"/>
      <c r="J46" s="630"/>
      <c r="K46" s="630"/>
      <c r="L46" s="630"/>
      <c r="M46" s="630"/>
      <c r="N46" s="630"/>
      <c r="O46" s="631"/>
      <c r="P46" s="109"/>
      <c r="Q46" s="109"/>
    </row>
    <row r="47" spans="1:17" ht="15.75" x14ac:dyDescent="0.25">
      <c r="A47" s="621" t="s">
        <v>39</v>
      </c>
      <c r="B47" s="622"/>
      <c r="C47" s="89" t="s">
        <v>40</v>
      </c>
      <c r="D47" s="89" t="s">
        <v>41</v>
      </c>
      <c r="E47" s="89" t="s">
        <v>42</v>
      </c>
      <c r="F47" s="89" t="s">
        <v>43</v>
      </c>
      <c r="G47" s="89" t="s">
        <v>44</v>
      </c>
      <c r="H47" s="89" t="s">
        <v>45</v>
      </c>
      <c r="I47" s="89" t="s">
        <v>46</v>
      </c>
      <c r="J47" s="89" t="s">
        <v>47</v>
      </c>
      <c r="K47" s="89" t="s">
        <v>48</v>
      </c>
      <c r="L47" s="89" t="s">
        <v>49</v>
      </c>
      <c r="M47" s="89" t="s">
        <v>50</v>
      </c>
      <c r="N47" s="89" t="s">
        <v>51</v>
      </c>
      <c r="O47" s="89" t="s">
        <v>26</v>
      </c>
      <c r="P47" s="109"/>
      <c r="Q47" s="109"/>
    </row>
    <row r="48" spans="1:17" ht="15.75" x14ac:dyDescent="0.25">
      <c r="A48" s="51" t="s">
        <v>52</v>
      </c>
      <c r="B48" s="90"/>
      <c r="C48" s="168">
        <f>'INGRESOS '!B84</f>
        <v>1710487.2534900003</v>
      </c>
      <c r="D48" s="168">
        <f>'INGRESOS '!C84</f>
        <v>1710487.2534900003</v>
      </c>
      <c r="E48" s="168">
        <f>'INGRESOS '!D84</f>
        <v>1710487.2534900003</v>
      </c>
      <c r="F48" s="168">
        <f>'INGRESOS '!E84</f>
        <v>1710487.2534900003</v>
      </c>
      <c r="G48" s="168">
        <f>'INGRESOS '!F84</f>
        <v>1710487.2534900003</v>
      </c>
      <c r="H48" s="168">
        <f>'INGRESOS '!G84</f>
        <v>1710487.2534900003</v>
      </c>
      <c r="I48" s="168">
        <f>'INGRESOS '!H84</f>
        <v>1710487.2534900003</v>
      </c>
      <c r="J48" s="168">
        <f>'INGRESOS '!I84</f>
        <v>1710487.2534900003</v>
      </c>
      <c r="K48" s="168">
        <f>'INGRESOS '!J84</f>
        <v>1710487.2534900003</v>
      </c>
      <c r="L48" s="168">
        <f>'INGRESOS '!K84</f>
        <v>1710487.2534900003</v>
      </c>
      <c r="M48" s="168">
        <f>'INGRESOS '!L84</f>
        <v>1710487.2534900003</v>
      </c>
      <c r="N48" s="168">
        <f>'INGRESOS '!M84</f>
        <v>1710487.2534900003</v>
      </c>
      <c r="O48" s="226">
        <f>SUM(C48:N48)</f>
        <v>20525847.041880008</v>
      </c>
      <c r="P48" s="109"/>
      <c r="Q48" s="109"/>
    </row>
    <row r="49" spans="1:17" ht="15.75" x14ac:dyDescent="0.25">
      <c r="A49" s="617" t="s">
        <v>53</v>
      </c>
      <c r="B49" s="623"/>
      <c r="C49" s="168">
        <f>C48</f>
        <v>1710487.2534900003</v>
      </c>
      <c r="D49" s="168">
        <f t="shared" ref="D49:N49" si="18">D48</f>
        <v>1710487.2534900003</v>
      </c>
      <c r="E49" s="168">
        <f t="shared" si="18"/>
        <v>1710487.2534900003</v>
      </c>
      <c r="F49" s="168">
        <f t="shared" si="18"/>
        <v>1710487.2534900003</v>
      </c>
      <c r="G49" s="168">
        <f t="shared" si="18"/>
        <v>1710487.2534900003</v>
      </c>
      <c r="H49" s="168">
        <f t="shared" si="18"/>
        <v>1710487.2534900003</v>
      </c>
      <c r="I49" s="168">
        <f t="shared" si="18"/>
        <v>1710487.2534900003</v>
      </c>
      <c r="J49" s="168">
        <f t="shared" si="18"/>
        <v>1710487.2534900003</v>
      </c>
      <c r="K49" s="168">
        <f t="shared" si="18"/>
        <v>1710487.2534900003</v>
      </c>
      <c r="L49" s="168">
        <f t="shared" si="18"/>
        <v>1710487.2534900003</v>
      </c>
      <c r="M49" s="168">
        <f t="shared" si="18"/>
        <v>1710487.2534900003</v>
      </c>
      <c r="N49" s="168">
        <f t="shared" si="18"/>
        <v>1710487.2534900003</v>
      </c>
      <c r="O49" s="226">
        <f>SUM(C49:N49)</f>
        <v>20525847.041880008</v>
      </c>
      <c r="P49" s="109"/>
      <c r="Q49" s="109"/>
    </row>
    <row r="50" spans="1:17" ht="15.75" x14ac:dyDescent="0.25">
      <c r="A50" s="626"/>
      <c r="B50" s="627"/>
      <c r="C50" s="92"/>
      <c r="D50" s="93"/>
      <c r="E50" s="93"/>
      <c r="F50" s="94"/>
      <c r="G50" s="94"/>
      <c r="H50" s="94"/>
      <c r="I50" s="94"/>
      <c r="J50" s="94"/>
      <c r="K50" s="91">
        <v>0</v>
      </c>
      <c r="L50" s="91">
        <v>0</v>
      </c>
      <c r="M50" s="91">
        <f>+M48*A50</f>
        <v>0</v>
      </c>
      <c r="N50" s="91"/>
      <c r="O50" s="107">
        <f>+J50</f>
        <v>0</v>
      </c>
      <c r="P50" s="109"/>
      <c r="Q50" s="109"/>
    </row>
    <row r="51" spans="1:17" ht="15.75" x14ac:dyDescent="0.25">
      <c r="A51" s="617" t="s">
        <v>54</v>
      </c>
      <c r="B51" s="61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108"/>
      <c r="P51" s="109"/>
      <c r="Q51" s="109"/>
    </row>
    <row r="52" spans="1:17" s="160" customFormat="1" ht="15.75" x14ac:dyDescent="0.25">
      <c r="A52" s="169" t="s">
        <v>55</v>
      </c>
      <c r="B52" s="170"/>
      <c r="C52" s="161">
        <f>'COSTOS '!B163</f>
        <v>216676.93742806235</v>
      </c>
      <c r="D52" s="161">
        <f>'COSTOS '!C163</f>
        <v>221010.4761766236</v>
      </c>
      <c r="E52" s="161">
        <f>'COSTOS '!D163</f>
        <v>216590.26665309115</v>
      </c>
      <c r="F52" s="161">
        <f>'COSTOS '!E163</f>
        <v>223087.97465268392</v>
      </c>
      <c r="G52" s="161">
        <f>'COSTOS '!F163</f>
        <v>227549.73414573757</v>
      </c>
      <c r="H52" s="161">
        <f>'COSTOS '!G163</f>
        <v>220723.24212136539</v>
      </c>
      <c r="I52" s="161">
        <f>'COSTOS '!H163</f>
        <v>218516.00970015171</v>
      </c>
      <c r="J52" s="161">
        <f>'COSTOS '!I163</f>
        <v>222886.32989415474</v>
      </c>
      <c r="K52" s="161">
        <f>'COSTOS '!J163</f>
        <v>218428.60329627164</v>
      </c>
      <c r="L52" s="161">
        <f>'COSTOS '!K163</f>
        <v>216244.31726330897</v>
      </c>
      <c r="M52" s="161">
        <f>'COSTOS '!L163</f>
        <v>220569.20360857507</v>
      </c>
      <c r="N52" s="161">
        <f>'COSTOS '!M163</f>
        <v>224980.58768074668</v>
      </c>
      <c r="O52" s="161">
        <f>SUM(C52:N52)</f>
        <v>2647263.6826207731</v>
      </c>
      <c r="P52" s="183" t="s">
        <v>254</v>
      </c>
    </row>
    <row r="53" spans="1:17" s="160" customFormat="1" ht="15.75" x14ac:dyDescent="0.25">
      <c r="A53" s="169" t="s">
        <v>56</v>
      </c>
      <c r="B53" s="170"/>
      <c r="C53" s="171">
        <f>'COSTOS '!B175</f>
        <v>207422.45609599998</v>
      </c>
      <c r="D53" s="171">
        <f>'COSTOS '!C175</f>
        <v>207422.45609599998</v>
      </c>
      <c r="E53" s="171">
        <f>'COSTOS '!D175</f>
        <v>207422.45609599998</v>
      </c>
      <c r="F53" s="171">
        <f>'COSTOS '!E175</f>
        <v>207422.45609599998</v>
      </c>
      <c r="G53" s="171">
        <f>'COSTOS '!F175</f>
        <v>207422.45609599998</v>
      </c>
      <c r="H53" s="171">
        <f>'COSTOS '!G175</f>
        <v>207422.45609599998</v>
      </c>
      <c r="I53" s="171">
        <f>'COSTOS '!H175</f>
        <v>207422.45609599998</v>
      </c>
      <c r="J53" s="171">
        <f>'COSTOS '!I175</f>
        <v>207422.45609599998</v>
      </c>
      <c r="K53" s="171">
        <f>'COSTOS '!J175</f>
        <v>207422.45609599998</v>
      </c>
      <c r="L53" s="171">
        <f>'COSTOS '!K175</f>
        <v>207422.45609599998</v>
      </c>
      <c r="M53" s="171">
        <f>'COSTOS '!L175</f>
        <v>207422.45609599998</v>
      </c>
      <c r="N53" s="171">
        <f>'COSTOS '!M175</f>
        <v>207422.45609599998</v>
      </c>
      <c r="O53" s="161">
        <f>SUM(C53:N53)</f>
        <v>2489069.473152</v>
      </c>
      <c r="P53" s="184">
        <f>O52+O53</f>
        <v>5136333.1557727735</v>
      </c>
    </row>
    <row r="54" spans="1:17" ht="15.75" x14ac:dyDescent="0.25">
      <c r="A54" s="12" t="s">
        <v>57</v>
      </c>
      <c r="B54" s="21"/>
      <c r="C54" s="96">
        <f>C48-(C52+C53)</f>
        <v>1286387.8599659379</v>
      </c>
      <c r="D54" s="96">
        <f t="shared" ref="D54:N54" si="19">D48-(D52+D53)</f>
        <v>1282054.3212173767</v>
      </c>
      <c r="E54" s="96">
        <f t="shared" si="19"/>
        <v>1286474.5307409093</v>
      </c>
      <c r="F54" s="96">
        <f t="shared" si="19"/>
        <v>1279976.8227413164</v>
      </c>
      <c r="G54" s="96">
        <f t="shared" si="19"/>
        <v>1275515.0632482627</v>
      </c>
      <c r="H54" s="96">
        <f t="shared" si="19"/>
        <v>1282341.5552726348</v>
      </c>
      <c r="I54" s="96">
        <f t="shared" si="19"/>
        <v>1284548.7876938486</v>
      </c>
      <c r="J54" s="96">
        <f t="shared" si="19"/>
        <v>1280178.4674998457</v>
      </c>
      <c r="K54" s="96">
        <f t="shared" si="19"/>
        <v>1284636.1940977287</v>
      </c>
      <c r="L54" s="96">
        <f t="shared" si="19"/>
        <v>1286820.4801306913</v>
      </c>
      <c r="M54" s="96">
        <f t="shared" si="19"/>
        <v>1282495.5937854252</v>
      </c>
      <c r="N54" s="96">
        <f t="shared" si="19"/>
        <v>1278084.2097132537</v>
      </c>
      <c r="O54" s="96">
        <f t="shared" ref="O54" si="20">O48-(O52+O53)</f>
        <v>15389513.886107234</v>
      </c>
      <c r="P54" s="109"/>
      <c r="Q54" s="109"/>
    </row>
    <row r="55" spans="1:17" s="175" customFormat="1" ht="15.75" x14ac:dyDescent="0.25">
      <c r="A55" s="172" t="s">
        <v>58</v>
      </c>
      <c r="B55" s="173"/>
      <c r="C55" s="174">
        <f>+C54</f>
        <v>1286387.8599659379</v>
      </c>
      <c r="D55" s="174">
        <f>+D54+C55</f>
        <v>2568442.1811833149</v>
      </c>
      <c r="E55" s="174">
        <f>+E54+D55</f>
        <v>3854916.7119242242</v>
      </c>
      <c r="F55" s="174">
        <f t="shared" ref="F55" si="21">+F54+E55</f>
        <v>5134893.5346655408</v>
      </c>
      <c r="G55" s="174">
        <f t="shared" ref="G55" si="22">+G54+F55</f>
        <v>6410408.5979138035</v>
      </c>
      <c r="H55" s="174">
        <f t="shared" ref="H55" si="23">+H54+G55</f>
        <v>7692750.1531864386</v>
      </c>
      <c r="I55" s="174">
        <f>+I54+H55</f>
        <v>8977298.9408802874</v>
      </c>
      <c r="J55" s="174">
        <f t="shared" ref="J55" si="24">+J54+I55</f>
        <v>10257477.408380132</v>
      </c>
      <c r="K55" s="174">
        <f t="shared" ref="K55" si="25">+K54+J55</f>
        <v>11542113.602477862</v>
      </c>
      <c r="L55" s="174">
        <f t="shared" ref="L55" si="26">+L54+K55</f>
        <v>12828934.082608553</v>
      </c>
      <c r="M55" s="174">
        <f t="shared" ref="M55" si="27">+M54+L55</f>
        <v>14111429.676393978</v>
      </c>
      <c r="N55" s="174">
        <f t="shared" ref="N55" si="28">+N54+M55</f>
        <v>15389513.886107232</v>
      </c>
      <c r="O55" s="179">
        <f>+N55</f>
        <v>15389513.886107232</v>
      </c>
    </row>
    <row r="56" spans="1:17" ht="14.25" x14ac:dyDescent="0.2">
      <c r="A56" s="106"/>
      <c r="B56" s="100"/>
      <c r="C56" s="100"/>
      <c r="D56" s="100"/>
      <c r="E56" s="100"/>
    </row>
    <row r="57" spans="1:17" ht="15.75" x14ac:dyDescent="0.25">
      <c r="A57" s="632" t="s">
        <v>346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3"/>
      <c r="P57" s="109"/>
      <c r="Q57" s="109"/>
    </row>
    <row r="58" spans="1:17" ht="15.75" x14ac:dyDescent="0.25">
      <c r="A58" s="621" t="s">
        <v>39</v>
      </c>
      <c r="B58" s="622"/>
      <c r="C58" s="89" t="s">
        <v>40</v>
      </c>
      <c r="D58" s="89" t="s">
        <v>41</v>
      </c>
      <c r="E58" s="89" t="s">
        <v>42</v>
      </c>
      <c r="F58" s="89" t="s">
        <v>43</v>
      </c>
      <c r="G58" s="89" t="s">
        <v>44</v>
      </c>
      <c r="H58" s="89" t="s">
        <v>45</v>
      </c>
      <c r="I58" s="89" t="s">
        <v>46</v>
      </c>
      <c r="J58" s="89" t="s">
        <v>47</v>
      </c>
      <c r="K58" s="89" t="s">
        <v>48</v>
      </c>
      <c r="L58" s="89" t="s">
        <v>49</v>
      </c>
      <c r="M58" s="89" t="s">
        <v>50</v>
      </c>
      <c r="N58" s="89" t="s">
        <v>51</v>
      </c>
      <c r="O58" s="89" t="s">
        <v>26</v>
      </c>
      <c r="P58" s="109"/>
      <c r="Q58" s="109"/>
    </row>
    <row r="59" spans="1:17" ht="15.75" x14ac:dyDescent="0.25">
      <c r="A59" s="51" t="s">
        <v>52</v>
      </c>
      <c r="B59" s="90"/>
      <c r="C59" s="168">
        <f>'INGRESOS '!B104</f>
        <v>1864431.1063041002</v>
      </c>
      <c r="D59" s="168">
        <f>'INGRESOS '!C104</f>
        <v>1864431.1063041002</v>
      </c>
      <c r="E59" s="168">
        <f>'INGRESOS '!D104</f>
        <v>1864431.1063041002</v>
      </c>
      <c r="F59" s="168">
        <f>'INGRESOS '!E104</f>
        <v>1864431.1063041002</v>
      </c>
      <c r="G59" s="168">
        <f>'INGRESOS '!F104</f>
        <v>1864431.1063041002</v>
      </c>
      <c r="H59" s="168">
        <f>'INGRESOS '!G104</f>
        <v>1864431.1063041002</v>
      </c>
      <c r="I59" s="168">
        <f>'INGRESOS '!H104</f>
        <v>1864431.1063041002</v>
      </c>
      <c r="J59" s="168">
        <f>'INGRESOS '!I104</f>
        <v>1864431.1063041002</v>
      </c>
      <c r="K59" s="168">
        <f>'INGRESOS '!J104</f>
        <v>1864431.1063041002</v>
      </c>
      <c r="L59" s="168">
        <f>'INGRESOS '!K104</f>
        <v>1864431.1063041002</v>
      </c>
      <c r="M59" s="168">
        <f>'INGRESOS '!L104</f>
        <v>1864431.1063041002</v>
      </c>
      <c r="N59" s="168">
        <f>'INGRESOS '!M104</f>
        <v>1864431.1063041002</v>
      </c>
      <c r="O59" s="226">
        <f>SUM(C59:N59)</f>
        <v>22373173.275649205</v>
      </c>
      <c r="P59" s="109"/>
      <c r="Q59" s="109"/>
    </row>
    <row r="60" spans="1:17" ht="15.75" x14ac:dyDescent="0.25">
      <c r="A60" s="617" t="s">
        <v>53</v>
      </c>
      <c r="B60" s="623"/>
      <c r="C60" s="224">
        <f>C59</f>
        <v>1864431.1063041002</v>
      </c>
      <c r="D60" s="224">
        <f t="shared" ref="D60:N60" si="29">D59</f>
        <v>1864431.1063041002</v>
      </c>
      <c r="E60" s="224">
        <f t="shared" si="29"/>
        <v>1864431.1063041002</v>
      </c>
      <c r="F60" s="224">
        <f t="shared" si="29"/>
        <v>1864431.1063041002</v>
      </c>
      <c r="G60" s="224">
        <f t="shared" si="29"/>
        <v>1864431.1063041002</v>
      </c>
      <c r="H60" s="224">
        <f t="shared" si="29"/>
        <v>1864431.1063041002</v>
      </c>
      <c r="I60" s="224">
        <f t="shared" si="29"/>
        <v>1864431.1063041002</v>
      </c>
      <c r="J60" s="224">
        <f t="shared" si="29"/>
        <v>1864431.1063041002</v>
      </c>
      <c r="K60" s="224">
        <f t="shared" si="29"/>
        <v>1864431.1063041002</v>
      </c>
      <c r="L60" s="224">
        <f t="shared" si="29"/>
        <v>1864431.1063041002</v>
      </c>
      <c r="M60" s="224">
        <f t="shared" si="29"/>
        <v>1864431.1063041002</v>
      </c>
      <c r="N60" s="224">
        <f t="shared" si="29"/>
        <v>1864431.1063041002</v>
      </c>
      <c r="O60" s="226">
        <f>SUM(C60:N60)</f>
        <v>22373173.275649205</v>
      </c>
      <c r="P60" s="109"/>
      <c r="Q60" s="109"/>
    </row>
    <row r="61" spans="1:17" ht="15.75" x14ac:dyDescent="0.25">
      <c r="A61" s="626"/>
      <c r="B61" s="627"/>
      <c r="C61" s="92"/>
      <c r="D61" s="93"/>
      <c r="E61" s="93"/>
      <c r="F61" s="94"/>
      <c r="G61" s="94"/>
      <c r="H61" s="94"/>
      <c r="I61" s="94"/>
      <c r="J61" s="94"/>
      <c r="K61" s="91">
        <v>0</v>
      </c>
      <c r="L61" s="91">
        <v>0</v>
      </c>
      <c r="M61" s="91">
        <f>+M59*A61</f>
        <v>0</v>
      </c>
      <c r="N61" s="91"/>
      <c r="O61" s="107">
        <f>+J61</f>
        <v>0</v>
      </c>
      <c r="P61" s="109"/>
      <c r="Q61" s="109"/>
    </row>
    <row r="62" spans="1:17" ht="15.75" x14ac:dyDescent="0.25">
      <c r="A62" s="617" t="s">
        <v>54</v>
      </c>
      <c r="B62" s="61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108"/>
      <c r="P62" s="109"/>
      <c r="Q62" s="109"/>
    </row>
    <row r="63" spans="1:17" s="160" customFormat="1" ht="15.75" x14ac:dyDescent="0.25">
      <c r="A63" s="169" t="s">
        <v>55</v>
      </c>
      <c r="B63" s="170"/>
      <c r="C63" s="161">
        <f>'COSTOS '!B216</f>
        <v>224980.58768074668</v>
      </c>
      <c r="D63" s="161">
        <f>'COSTOS '!C216</f>
        <v>229480.1994343616</v>
      </c>
      <c r="E63" s="161">
        <f>'COSTOS '!D216</f>
        <v>224890.59544567435</v>
      </c>
      <c r="F63" s="161">
        <f>'COSTOS '!E216</f>
        <v>231637.31330904455</v>
      </c>
      <c r="G63" s="161">
        <f>'COSTOS '!F216</f>
        <v>236270.05957522549</v>
      </c>
      <c r="H63" s="161">
        <f>'COSTOS '!G216</f>
        <v>229181.95778796874</v>
      </c>
      <c r="I63" s="161">
        <f>'COSTOS '!H216</f>
        <v>226890.138210089</v>
      </c>
      <c r="J63" s="161">
        <f>'COSTOS '!I216</f>
        <v>231427.94097429077</v>
      </c>
      <c r="K63" s="161">
        <f>'COSTOS '!J216</f>
        <v>226799.38215480495</v>
      </c>
      <c r="L63" s="161">
        <f>'COSTOS '!K216</f>
        <v>224531.38833325688</v>
      </c>
      <c r="M63" s="161">
        <f>'COSTOS '!L216</f>
        <v>229022.0160999221</v>
      </c>
      <c r="N63" s="161">
        <f>'COSTOS '!M216</f>
        <v>233602.45642192053</v>
      </c>
      <c r="O63" s="161">
        <f>SUM(C63:N63)</f>
        <v>2748714.0354273054</v>
      </c>
      <c r="P63" s="183" t="s">
        <v>254</v>
      </c>
    </row>
    <row r="64" spans="1:17" s="160" customFormat="1" ht="15.75" x14ac:dyDescent="0.25">
      <c r="A64" s="169" t="s">
        <v>56</v>
      </c>
      <c r="B64" s="170"/>
      <c r="C64" s="171">
        <f>'COSTOS '!B228</f>
        <v>207422.45609599998</v>
      </c>
      <c r="D64" s="171">
        <f>'COSTOS '!C228</f>
        <v>207422.45609599998</v>
      </c>
      <c r="E64" s="171">
        <f>'COSTOS '!D228</f>
        <v>207422.45609599998</v>
      </c>
      <c r="F64" s="171">
        <f>'COSTOS '!E228</f>
        <v>207422.45609599998</v>
      </c>
      <c r="G64" s="171">
        <f>'COSTOS '!F228</f>
        <v>207422.45609599998</v>
      </c>
      <c r="H64" s="171">
        <f>'COSTOS '!G228</f>
        <v>207422.45609599998</v>
      </c>
      <c r="I64" s="171">
        <f>'COSTOS '!H228</f>
        <v>207422.45609599998</v>
      </c>
      <c r="J64" s="171">
        <f>'COSTOS '!I228</f>
        <v>207422.45609599998</v>
      </c>
      <c r="K64" s="171">
        <f>'COSTOS '!J228</f>
        <v>207422.45609599998</v>
      </c>
      <c r="L64" s="171">
        <f>'COSTOS '!K228</f>
        <v>207422.45609599998</v>
      </c>
      <c r="M64" s="171">
        <f>'COSTOS '!L228</f>
        <v>207422.45609599998</v>
      </c>
      <c r="N64" s="171">
        <f>'COSTOS '!M228</f>
        <v>207422.45609599998</v>
      </c>
      <c r="O64" s="161">
        <f>SUM(C64:N64)</f>
        <v>2489069.473152</v>
      </c>
      <c r="P64" s="184">
        <f>O63+O64</f>
        <v>5237783.5085793054</v>
      </c>
    </row>
    <row r="65" spans="1:17" ht="15.75" x14ac:dyDescent="0.25">
      <c r="A65" s="12" t="s">
        <v>57</v>
      </c>
      <c r="B65" s="21"/>
      <c r="C65" s="96">
        <f>C59-(C63+C64)</f>
        <v>1432028.0625273536</v>
      </c>
      <c r="D65" s="96">
        <f t="shared" ref="D65:N65" si="30">D59-(D63+D64)</f>
        <v>1427528.4507737388</v>
      </c>
      <c r="E65" s="96">
        <f t="shared" si="30"/>
        <v>1432118.0547624258</v>
      </c>
      <c r="F65" s="96">
        <f t="shared" si="30"/>
        <v>1425371.3368990556</v>
      </c>
      <c r="G65" s="96">
        <f t="shared" si="30"/>
        <v>1420738.5906328748</v>
      </c>
      <c r="H65" s="96">
        <f t="shared" si="30"/>
        <v>1427826.6924201315</v>
      </c>
      <c r="I65" s="96">
        <f t="shared" si="30"/>
        <v>1430118.5119980113</v>
      </c>
      <c r="J65" s="96">
        <f t="shared" si="30"/>
        <v>1425580.7092338095</v>
      </c>
      <c r="K65" s="96">
        <f t="shared" si="30"/>
        <v>1430209.2680532953</v>
      </c>
      <c r="L65" s="96">
        <f t="shared" si="30"/>
        <v>1432477.2618748434</v>
      </c>
      <c r="M65" s="96">
        <f t="shared" si="30"/>
        <v>1427986.6341081783</v>
      </c>
      <c r="N65" s="96">
        <f t="shared" si="30"/>
        <v>1423406.1937861796</v>
      </c>
      <c r="O65" s="96">
        <f t="shared" ref="O65" si="31">O59-(O63+O64)</f>
        <v>17135389.767069899</v>
      </c>
      <c r="P65" s="109"/>
      <c r="Q65" s="109"/>
    </row>
    <row r="66" spans="1:17" s="175" customFormat="1" ht="15.75" x14ac:dyDescent="0.25">
      <c r="A66" s="172" t="s">
        <v>58</v>
      </c>
      <c r="B66" s="173"/>
      <c r="C66" s="174">
        <f>+C65</f>
        <v>1432028.0625273536</v>
      </c>
      <c r="D66" s="174">
        <f>+D65+C66</f>
        <v>2859556.5133010922</v>
      </c>
      <c r="E66" s="174">
        <f>+E65+D66</f>
        <v>4291674.568063518</v>
      </c>
      <c r="F66" s="174">
        <f t="shared" ref="F66" si="32">+F65+E66</f>
        <v>5717045.9049625732</v>
      </c>
      <c r="G66" s="174">
        <f t="shared" ref="G66" si="33">+G65+F66</f>
        <v>7137784.4955954477</v>
      </c>
      <c r="H66" s="174">
        <f t="shared" ref="H66" si="34">+H65+G66</f>
        <v>8565611.1880155802</v>
      </c>
      <c r="I66" s="174">
        <f t="shared" ref="I66" si="35">+I65+H66</f>
        <v>9995729.700013591</v>
      </c>
      <c r="J66" s="174">
        <f t="shared" ref="J66" si="36">+J65+I66</f>
        <v>11421310.4092474</v>
      </c>
      <c r="K66" s="174">
        <f t="shared" ref="K66" si="37">+K65+J66</f>
        <v>12851519.677300695</v>
      </c>
      <c r="L66" s="174">
        <f t="shared" ref="L66" si="38">+L65+K66</f>
        <v>14283996.939175539</v>
      </c>
      <c r="M66" s="174">
        <f t="shared" ref="M66" si="39">+M65+L66</f>
        <v>15711983.573283717</v>
      </c>
      <c r="N66" s="174">
        <f t="shared" ref="N66" si="40">+N65+M66</f>
        <v>17135389.767069899</v>
      </c>
      <c r="O66" s="179">
        <f>+N66</f>
        <v>17135389.767069899</v>
      </c>
    </row>
    <row r="72" spans="1:17" ht="18" x14ac:dyDescent="0.25">
      <c r="A72" s="1" t="s">
        <v>61</v>
      </c>
      <c r="B72" s="100"/>
      <c r="C72" s="100"/>
      <c r="D72" s="100"/>
      <c r="E72" s="100"/>
      <c r="F72" s="100"/>
      <c r="G72" s="87"/>
      <c r="H72" s="87"/>
      <c r="I72" s="87"/>
      <c r="J72" s="87"/>
      <c r="K72" s="87"/>
      <c r="L72" s="87"/>
      <c r="M72" s="87"/>
      <c r="N72" s="87"/>
      <c r="O72" s="87"/>
    </row>
    <row r="73" spans="1:17" ht="14.25" x14ac:dyDescent="0.2">
      <c r="A73" s="100"/>
      <c r="B73" s="100"/>
      <c r="C73" s="100"/>
      <c r="D73" s="227">
        <f>O38</f>
        <v>18831052.33200001</v>
      </c>
      <c r="E73" s="100"/>
    </row>
    <row r="74" spans="1:17" ht="15.75" x14ac:dyDescent="0.25">
      <c r="A74" s="101" t="s">
        <v>62</v>
      </c>
      <c r="B74" s="102" t="s">
        <v>63</v>
      </c>
      <c r="C74" s="102" t="s">
        <v>64</v>
      </c>
      <c r="D74" s="102" t="s">
        <v>65</v>
      </c>
      <c r="E74" s="102" t="s">
        <v>66</v>
      </c>
      <c r="F74" s="102" t="s">
        <v>67</v>
      </c>
    </row>
    <row r="75" spans="1:17" ht="15.75" x14ac:dyDescent="0.25">
      <c r="A75" s="71" t="s">
        <v>68</v>
      </c>
      <c r="B75" s="76">
        <f>O13</f>
        <v>15123330</v>
      </c>
      <c r="C75" s="103">
        <f>O27</f>
        <v>17276194.800000001</v>
      </c>
      <c r="D75" s="103">
        <f>O38</f>
        <v>18831052.33200001</v>
      </c>
      <c r="E75" s="103">
        <f>O49</f>
        <v>20525847.041880008</v>
      </c>
      <c r="F75" s="103">
        <f>O60</f>
        <v>22373173.275649205</v>
      </c>
    </row>
    <row r="76" spans="1:17" ht="15.75" x14ac:dyDescent="0.25">
      <c r="A76" s="71" t="s">
        <v>69</v>
      </c>
      <c r="B76" s="76">
        <f>P16</f>
        <v>4853900.5645006001</v>
      </c>
      <c r="C76" s="103">
        <f>P31</f>
        <v>4944527.3313467558</v>
      </c>
      <c r="D76" s="103">
        <f>P42</f>
        <v>5038627.1626747865</v>
      </c>
      <c r="E76" s="103">
        <f>P53</f>
        <v>5136333.1557727735</v>
      </c>
      <c r="F76" s="103">
        <f>P64</f>
        <v>5237783.5085793054</v>
      </c>
    </row>
    <row r="77" spans="1:17" ht="15.75" x14ac:dyDescent="0.25">
      <c r="A77" s="71" t="s">
        <v>26</v>
      </c>
      <c r="B77" s="104">
        <f>B75-B76</f>
        <v>10269429.4354994</v>
      </c>
      <c r="C77" s="105">
        <f>C75-C76</f>
        <v>12331667.468653245</v>
      </c>
      <c r="D77" s="105">
        <f t="shared" ref="D77:F77" si="41">D75-D76</f>
        <v>13792425.169325223</v>
      </c>
      <c r="E77" s="105">
        <f t="shared" si="41"/>
        <v>15389513.886107234</v>
      </c>
      <c r="F77" s="105">
        <f t="shared" si="41"/>
        <v>17135389.767069899</v>
      </c>
    </row>
  </sheetData>
  <mergeCells count="24">
    <mergeCell ref="A57:O57"/>
    <mergeCell ref="A58:B58"/>
    <mergeCell ref="A60:B60"/>
    <mergeCell ref="A61:B61"/>
    <mergeCell ref="A62:B62"/>
    <mergeCell ref="A46:O46"/>
    <mergeCell ref="A47:B47"/>
    <mergeCell ref="A49:B49"/>
    <mergeCell ref="A50:B50"/>
    <mergeCell ref="A51:B51"/>
    <mergeCell ref="A35:O35"/>
    <mergeCell ref="A36:B36"/>
    <mergeCell ref="A38:B38"/>
    <mergeCell ref="A39:B39"/>
    <mergeCell ref="A40:B40"/>
    <mergeCell ref="A29:B29"/>
    <mergeCell ref="A10:O10"/>
    <mergeCell ref="A11:B11"/>
    <mergeCell ref="A13:B13"/>
    <mergeCell ref="A14:B14"/>
    <mergeCell ref="A24:O24"/>
    <mergeCell ref="A25:B25"/>
    <mergeCell ref="A27:B27"/>
    <mergeCell ref="A28:B28"/>
  </mergeCells>
  <pageMargins left="0.45999999999999996" right="0.45999999999999996" top="0.4" bottom="0.28000000000000003" header="0" footer="0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27C7-5EF7-46AF-A923-4478829D374F}">
  <dimension ref="A1:AM1000"/>
  <sheetViews>
    <sheetView showGridLines="0" zoomScale="70" zoomScaleNormal="70" workbookViewId="0">
      <selection activeCell="O34" sqref="O34"/>
    </sheetView>
  </sheetViews>
  <sheetFormatPr baseColWidth="10" defaultColWidth="14.42578125" defaultRowHeight="15" customHeight="1" x14ac:dyDescent="0.25"/>
  <cols>
    <col min="1" max="1" width="29.42578125" style="254" customWidth="1"/>
    <col min="2" max="2" width="17.28515625" style="254" bestFit="1" customWidth="1"/>
    <col min="3" max="3" width="19.7109375" style="254" bestFit="1" customWidth="1"/>
    <col min="4" max="9" width="17.7109375" style="254" bestFit="1" customWidth="1"/>
    <col min="10" max="10" width="21.140625" style="254" bestFit="1" customWidth="1"/>
    <col min="11" max="17" width="15.140625" style="254" bestFit="1" customWidth="1"/>
    <col min="18" max="33" width="16.140625" style="254" bestFit="1" customWidth="1"/>
    <col min="34" max="34" width="15.140625" style="254" bestFit="1" customWidth="1"/>
    <col min="35" max="16384" width="14.42578125" style="254"/>
  </cols>
  <sheetData>
    <row r="1" spans="1:12" ht="18.75" x14ac:dyDescent="0.3">
      <c r="A1" s="568" t="s">
        <v>367</v>
      </c>
      <c r="B1" s="567"/>
      <c r="C1" s="567"/>
    </row>
    <row r="3" spans="1:12" x14ac:dyDescent="0.25">
      <c r="A3" s="260" t="s">
        <v>360</v>
      </c>
      <c r="B3" s="255"/>
      <c r="C3" s="261">
        <v>1135</v>
      </c>
    </row>
    <row r="4" spans="1:12" x14ac:dyDescent="0.25">
      <c r="A4" s="260" t="s">
        <v>366</v>
      </c>
      <c r="B4" s="255"/>
      <c r="C4" s="261">
        <v>685.9</v>
      </c>
    </row>
    <row r="5" spans="1:12" x14ac:dyDescent="0.25">
      <c r="A5" s="260" t="s">
        <v>365</v>
      </c>
      <c r="B5" s="255"/>
      <c r="C5" s="261">
        <f>'COSTOS '!N16+AMORTIZACIONES!B49</f>
        <v>3074192.72605325</v>
      </c>
    </row>
    <row r="8" spans="1:12" x14ac:dyDescent="0.25">
      <c r="H8" s="259"/>
    </row>
    <row r="9" spans="1:12" ht="15.75" customHeight="1" thickBot="1" x14ac:dyDescent="0.3">
      <c r="A9" s="638" t="s">
        <v>364</v>
      </c>
      <c r="B9" s="640" t="s">
        <v>114</v>
      </c>
      <c r="C9" s="641"/>
      <c r="D9" s="641"/>
      <c r="E9" s="634" t="s">
        <v>355</v>
      </c>
      <c r="F9" s="262">
        <f>C5</f>
        <v>3074192.72605325</v>
      </c>
      <c r="G9" s="636" t="s">
        <v>355</v>
      </c>
      <c r="H9" s="263">
        <f>F9</f>
        <v>3074192.72605325</v>
      </c>
      <c r="I9" s="636" t="s">
        <v>355</v>
      </c>
      <c r="J9" s="570">
        <f>H9/H10</f>
        <v>6845.2298509313068</v>
      </c>
      <c r="K9" s="265"/>
      <c r="L9" s="265"/>
    </row>
    <row r="10" spans="1:12" ht="15" customHeight="1" x14ac:dyDescent="0.25">
      <c r="A10" s="639"/>
      <c r="B10" s="642" t="s">
        <v>363</v>
      </c>
      <c r="C10" s="635"/>
      <c r="D10" s="635"/>
      <c r="E10" s="635"/>
      <c r="F10" s="264">
        <f>C3-C4</f>
        <v>449.1</v>
      </c>
      <c r="G10" s="637"/>
      <c r="H10" s="266">
        <f>F10</f>
        <v>449.1</v>
      </c>
      <c r="I10" s="637"/>
      <c r="J10" s="265"/>
      <c r="K10" s="265"/>
      <c r="L10" s="265"/>
    </row>
    <row r="11" spans="1:12" ht="15" customHeight="1" x14ac:dyDescent="0.25">
      <c r="F11" s="265"/>
      <c r="G11" s="265"/>
      <c r="H11" s="265"/>
      <c r="I11" s="265"/>
      <c r="J11" s="265"/>
      <c r="K11" s="265"/>
      <c r="L11" s="265"/>
    </row>
    <row r="12" spans="1:12" ht="15.75" thickBot="1" x14ac:dyDescent="0.3">
      <c r="A12" s="638" t="s">
        <v>362</v>
      </c>
      <c r="B12" s="640" t="s">
        <v>114</v>
      </c>
      <c r="C12" s="641"/>
      <c r="D12" s="641"/>
      <c r="E12" s="634" t="s">
        <v>355</v>
      </c>
      <c r="F12" s="262">
        <f>C5</f>
        <v>3074192.72605325</v>
      </c>
      <c r="G12" s="636" t="s">
        <v>355</v>
      </c>
      <c r="H12" s="262">
        <f>F12</f>
        <v>3074192.72605325</v>
      </c>
      <c r="I12" s="636" t="s">
        <v>355</v>
      </c>
      <c r="J12" s="262">
        <f>H12</f>
        <v>3074192.72605325</v>
      </c>
      <c r="K12" s="265"/>
      <c r="L12" s="571">
        <f>J12/J13</f>
        <v>7769335.8808070337</v>
      </c>
    </row>
    <row r="13" spans="1:12" ht="15.75" thickBot="1" x14ac:dyDescent="0.3">
      <c r="A13" s="639"/>
      <c r="B13" s="643" t="s">
        <v>359</v>
      </c>
      <c r="C13" s="258" t="s">
        <v>361</v>
      </c>
      <c r="D13" s="258"/>
      <c r="E13" s="635"/>
      <c r="F13" s="267">
        <f>C4</f>
        <v>685.9</v>
      </c>
      <c r="G13" s="637"/>
      <c r="H13" s="265">
        <f>F13/F14</f>
        <v>0.60431718061674011</v>
      </c>
      <c r="I13" s="637"/>
      <c r="J13" s="265">
        <f>1-H13</f>
        <v>0.39568281938325989</v>
      </c>
      <c r="K13" s="265"/>
      <c r="L13" s="265"/>
    </row>
    <row r="14" spans="1:12" x14ac:dyDescent="0.25">
      <c r="B14" s="635"/>
      <c r="C14" s="254" t="s">
        <v>360</v>
      </c>
      <c r="E14" s="257" t="s">
        <v>359</v>
      </c>
      <c r="F14" s="268">
        <f>C3</f>
        <v>1135</v>
      </c>
      <c r="G14" s="265"/>
      <c r="H14" s="265"/>
      <c r="I14" s="265"/>
      <c r="J14" s="265"/>
      <c r="K14" s="265"/>
      <c r="L14" s="265"/>
    </row>
    <row r="15" spans="1:12" ht="15" customHeight="1" x14ac:dyDescent="0.25">
      <c r="F15" s="265"/>
      <c r="G15" s="265"/>
      <c r="H15" s="265"/>
      <c r="I15" s="265"/>
      <c r="J15" s="265"/>
      <c r="K15" s="265"/>
      <c r="L15" s="265"/>
    </row>
    <row r="16" spans="1:12" x14ac:dyDescent="0.25">
      <c r="A16" s="569" t="s">
        <v>358</v>
      </c>
      <c r="C16" s="254" t="s">
        <v>357</v>
      </c>
      <c r="E16" s="634" t="s">
        <v>355</v>
      </c>
      <c r="F16" s="270">
        <f>J9</f>
        <v>6845.2298509313068</v>
      </c>
      <c r="G16" s="636" t="s">
        <v>356</v>
      </c>
      <c r="H16" s="268">
        <f>C3</f>
        <v>1135</v>
      </c>
      <c r="I16" s="636" t="s">
        <v>355</v>
      </c>
      <c r="J16" s="571">
        <f>F16*H16</f>
        <v>7769335.8808070328</v>
      </c>
      <c r="K16" s="265"/>
      <c r="L16" s="265"/>
    </row>
    <row r="17" spans="1:39" ht="15" customHeight="1" x14ac:dyDescent="0.25">
      <c r="E17" s="635"/>
      <c r="F17" s="265"/>
      <c r="G17" s="637"/>
      <c r="H17" s="265"/>
      <c r="I17" s="637"/>
      <c r="J17" s="265"/>
      <c r="K17" s="265"/>
      <c r="L17" s="265"/>
    </row>
    <row r="21" spans="1:39" ht="15.75" customHeight="1" x14ac:dyDescent="0.25">
      <c r="A21" s="255" t="s">
        <v>287</v>
      </c>
      <c r="B21" s="572">
        <v>0</v>
      </c>
      <c r="C21" s="572">
        <v>1000</v>
      </c>
      <c r="D21" s="572">
        <v>2000</v>
      </c>
      <c r="E21" s="572">
        <v>3000</v>
      </c>
      <c r="F21" s="572">
        <v>4000</v>
      </c>
      <c r="G21" s="572">
        <v>5000</v>
      </c>
      <c r="H21" s="572">
        <v>6000</v>
      </c>
      <c r="I21" s="572">
        <v>7000</v>
      </c>
      <c r="J21" s="572">
        <v>8000</v>
      </c>
      <c r="K21" s="572">
        <v>9000</v>
      </c>
      <c r="L21" s="572">
        <v>10000</v>
      </c>
      <c r="M21" s="572">
        <v>11000</v>
      </c>
      <c r="N21" s="572">
        <v>12000</v>
      </c>
      <c r="O21" s="572">
        <v>13000</v>
      </c>
      <c r="P21" s="572">
        <v>14000</v>
      </c>
      <c r="Q21" s="572">
        <v>15000</v>
      </c>
      <c r="R21" s="572">
        <v>16000</v>
      </c>
      <c r="S21" s="572">
        <v>17000</v>
      </c>
      <c r="T21" s="572">
        <v>18000</v>
      </c>
      <c r="U21" s="572">
        <v>19000</v>
      </c>
      <c r="V21" s="572">
        <v>20000</v>
      </c>
      <c r="W21" s="572">
        <v>21000</v>
      </c>
      <c r="X21" s="572">
        <v>22000</v>
      </c>
      <c r="Y21" s="572">
        <v>23000</v>
      </c>
      <c r="Z21" s="572">
        <v>24000</v>
      </c>
      <c r="AA21" s="572">
        <v>25000</v>
      </c>
      <c r="AB21" s="572">
        <v>26000</v>
      </c>
      <c r="AC21" s="572">
        <v>27000</v>
      </c>
      <c r="AD21" s="572">
        <v>28000</v>
      </c>
      <c r="AE21" s="573">
        <v>29000</v>
      </c>
      <c r="AF21" s="574">
        <v>30000</v>
      </c>
      <c r="AG21" s="334"/>
      <c r="AH21" s="334"/>
      <c r="AI21" s="334"/>
      <c r="AJ21" s="334"/>
      <c r="AK21" s="334"/>
      <c r="AL21" s="334"/>
      <c r="AM21" s="334"/>
    </row>
    <row r="22" spans="1:39" ht="15.75" customHeight="1" x14ac:dyDescent="0.25">
      <c r="A22" s="255" t="s">
        <v>113</v>
      </c>
      <c r="B22" s="261">
        <f t="shared" ref="B22:H22" si="0">B21*$C$3</f>
        <v>0</v>
      </c>
      <c r="C22" s="261">
        <f t="shared" si="0"/>
        <v>1135000</v>
      </c>
      <c r="D22" s="261">
        <f t="shared" si="0"/>
        <v>2270000</v>
      </c>
      <c r="E22" s="271">
        <f t="shared" si="0"/>
        <v>3405000</v>
      </c>
      <c r="F22" s="261">
        <f t="shared" si="0"/>
        <v>4540000</v>
      </c>
      <c r="G22" s="269">
        <f t="shared" si="0"/>
        <v>5675000</v>
      </c>
      <c r="H22" s="269">
        <f t="shared" si="0"/>
        <v>6810000</v>
      </c>
      <c r="I22" s="261">
        <f t="shared" ref="I22:T22" si="1">I21*$C$3</f>
        <v>7945000</v>
      </c>
      <c r="J22" s="261">
        <f t="shared" si="1"/>
        <v>9080000</v>
      </c>
      <c r="K22" s="261">
        <f t="shared" si="1"/>
        <v>10215000</v>
      </c>
      <c r="L22" s="271">
        <f t="shared" si="1"/>
        <v>11350000</v>
      </c>
      <c r="M22" s="261">
        <f t="shared" si="1"/>
        <v>12485000</v>
      </c>
      <c r="N22" s="261">
        <f t="shared" si="1"/>
        <v>13620000</v>
      </c>
      <c r="O22" s="261">
        <f t="shared" si="1"/>
        <v>14755000</v>
      </c>
      <c r="P22" s="261">
        <f t="shared" si="1"/>
        <v>15890000</v>
      </c>
      <c r="Q22" s="271">
        <f t="shared" si="1"/>
        <v>17025000</v>
      </c>
      <c r="R22" s="261">
        <f t="shared" si="1"/>
        <v>18160000</v>
      </c>
      <c r="S22" s="269">
        <f t="shared" si="1"/>
        <v>19295000</v>
      </c>
      <c r="T22" s="269">
        <f t="shared" si="1"/>
        <v>20430000</v>
      </c>
      <c r="U22" s="269">
        <f t="shared" ref="U22:AF22" si="2">U21*$C$3</f>
        <v>21565000</v>
      </c>
      <c r="V22" s="269">
        <f t="shared" si="2"/>
        <v>22700000</v>
      </c>
      <c r="W22" s="269">
        <f t="shared" si="2"/>
        <v>23835000</v>
      </c>
      <c r="X22" s="269">
        <f t="shared" si="2"/>
        <v>24970000</v>
      </c>
      <c r="Y22" s="269">
        <f t="shared" si="2"/>
        <v>26105000</v>
      </c>
      <c r="Z22" s="269">
        <f t="shared" si="2"/>
        <v>27240000</v>
      </c>
      <c r="AA22" s="269">
        <f t="shared" si="2"/>
        <v>28375000</v>
      </c>
      <c r="AB22" s="269">
        <f t="shared" si="2"/>
        <v>29510000</v>
      </c>
      <c r="AC22" s="269">
        <f t="shared" si="2"/>
        <v>30645000</v>
      </c>
      <c r="AD22" s="269">
        <f t="shared" si="2"/>
        <v>31780000</v>
      </c>
      <c r="AE22" s="332">
        <f t="shared" si="2"/>
        <v>32915000</v>
      </c>
      <c r="AF22" s="337">
        <f t="shared" si="2"/>
        <v>34050000</v>
      </c>
      <c r="AG22" s="335"/>
      <c r="AH22" s="335"/>
      <c r="AI22" s="335"/>
      <c r="AJ22" s="335"/>
      <c r="AK22" s="335"/>
      <c r="AL22" s="335"/>
      <c r="AM22" s="335"/>
    </row>
    <row r="23" spans="1:39" ht="15.75" customHeight="1" x14ac:dyDescent="0.25">
      <c r="A23" s="255" t="s">
        <v>354</v>
      </c>
      <c r="B23" s="261">
        <f t="shared" ref="B23:G23" si="3">B21*$C$4</f>
        <v>0</v>
      </c>
      <c r="C23" s="261">
        <f t="shared" si="3"/>
        <v>685900</v>
      </c>
      <c r="D23" s="261">
        <f t="shared" si="3"/>
        <v>1371800</v>
      </c>
      <c r="E23" s="271">
        <f t="shared" si="3"/>
        <v>2057700</v>
      </c>
      <c r="F23" s="261">
        <f t="shared" si="3"/>
        <v>2743600</v>
      </c>
      <c r="G23" s="269">
        <f t="shared" si="3"/>
        <v>3429500</v>
      </c>
      <c r="H23" s="269">
        <f>H21*$C$4</f>
        <v>4115400</v>
      </c>
      <c r="I23" s="261">
        <f t="shared" ref="I23:S23" si="4">I21*$C$4</f>
        <v>4801300</v>
      </c>
      <c r="J23" s="261">
        <f t="shared" si="4"/>
        <v>5487200</v>
      </c>
      <c r="K23" s="261">
        <f t="shared" si="4"/>
        <v>6173100</v>
      </c>
      <c r="L23" s="271">
        <f t="shared" si="4"/>
        <v>6859000</v>
      </c>
      <c r="M23" s="261">
        <f t="shared" si="4"/>
        <v>7544900</v>
      </c>
      <c r="N23" s="261">
        <f t="shared" si="4"/>
        <v>8230800</v>
      </c>
      <c r="O23" s="261">
        <f t="shared" si="4"/>
        <v>8916700</v>
      </c>
      <c r="P23" s="261">
        <f t="shared" si="4"/>
        <v>9602600</v>
      </c>
      <c r="Q23" s="271">
        <f t="shared" si="4"/>
        <v>10288500</v>
      </c>
      <c r="R23" s="261">
        <f t="shared" si="4"/>
        <v>10974400</v>
      </c>
      <c r="S23" s="269">
        <f t="shared" si="4"/>
        <v>11660300</v>
      </c>
      <c r="T23" s="269">
        <f>T21*$C$4</f>
        <v>12346200</v>
      </c>
      <c r="U23" s="269">
        <f t="shared" ref="U23:AF23" si="5">U21*$C$4</f>
        <v>13032100</v>
      </c>
      <c r="V23" s="269">
        <f t="shared" si="5"/>
        <v>13718000</v>
      </c>
      <c r="W23" s="269">
        <f t="shared" si="5"/>
        <v>14403900</v>
      </c>
      <c r="X23" s="269">
        <f t="shared" si="5"/>
        <v>15089800</v>
      </c>
      <c r="Y23" s="269">
        <f t="shared" si="5"/>
        <v>15775700</v>
      </c>
      <c r="Z23" s="269">
        <f t="shared" si="5"/>
        <v>16461600</v>
      </c>
      <c r="AA23" s="269">
        <f t="shared" si="5"/>
        <v>17147500</v>
      </c>
      <c r="AB23" s="269">
        <f t="shared" si="5"/>
        <v>17833400</v>
      </c>
      <c r="AC23" s="269">
        <f t="shared" si="5"/>
        <v>18519300</v>
      </c>
      <c r="AD23" s="269">
        <f t="shared" si="5"/>
        <v>19205200</v>
      </c>
      <c r="AE23" s="332">
        <f t="shared" si="5"/>
        <v>19891100</v>
      </c>
      <c r="AF23" s="337">
        <f t="shared" si="5"/>
        <v>20577000</v>
      </c>
      <c r="AG23" s="335"/>
      <c r="AH23" s="335"/>
      <c r="AI23" s="335"/>
      <c r="AJ23" s="335"/>
      <c r="AK23" s="335"/>
      <c r="AL23" s="335"/>
      <c r="AM23" s="335"/>
    </row>
    <row r="24" spans="1:39" ht="15.75" customHeight="1" x14ac:dyDescent="0.25">
      <c r="A24" s="256" t="s">
        <v>353</v>
      </c>
      <c r="B24" s="261">
        <f t="shared" ref="B24:H24" si="6">B22-B23</f>
        <v>0</v>
      </c>
      <c r="C24" s="261">
        <f t="shared" si="6"/>
        <v>449100</v>
      </c>
      <c r="D24" s="261">
        <f t="shared" si="6"/>
        <v>898200</v>
      </c>
      <c r="E24" s="271">
        <f t="shared" si="6"/>
        <v>1347300</v>
      </c>
      <c r="F24" s="261">
        <f t="shared" si="6"/>
        <v>1796400</v>
      </c>
      <c r="G24" s="269">
        <f t="shared" si="6"/>
        <v>2245500</v>
      </c>
      <c r="H24" s="269">
        <f t="shared" si="6"/>
        <v>2694600</v>
      </c>
      <c r="I24" s="261">
        <f t="shared" ref="I24:T24" si="7">I22-I23</f>
        <v>3143700</v>
      </c>
      <c r="J24" s="261">
        <f t="shared" si="7"/>
        <v>3592800</v>
      </c>
      <c r="K24" s="261">
        <f t="shared" si="7"/>
        <v>4041900</v>
      </c>
      <c r="L24" s="271">
        <f t="shared" si="7"/>
        <v>4491000</v>
      </c>
      <c r="M24" s="261">
        <f t="shared" si="7"/>
        <v>4940100</v>
      </c>
      <c r="N24" s="261">
        <f t="shared" si="7"/>
        <v>5389200</v>
      </c>
      <c r="O24" s="261">
        <f t="shared" si="7"/>
        <v>5838300</v>
      </c>
      <c r="P24" s="261">
        <f t="shared" si="7"/>
        <v>6287400</v>
      </c>
      <c r="Q24" s="271">
        <f t="shared" si="7"/>
        <v>6736500</v>
      </c>
      <c r="R24" s="261">
        <f t="shared" si="7"/>
        <v>7185600</v>
      </c>
      <c r="S24" s="269">
        <f t="shared" si="7"/>
        <v>7634700</v>
      </c>
      <c r="T24" s="269">
        <f t="shared" si="7"/>
        <v>8083800</v>
      </c>
      <c r="U24" s="269">
        <f t="shared" ref="U24:AF24" si="8">U22-U23</f>
        <v>8532900</v>
      </c>
      <c r="V24" s="269">
        <f t="shared" si="8"/>
        <v>8982000</v>
      </c>
      <c r="W24" s="269">
        <f t="shared" si="8"/>
        <v>9431100</v>
      </c>
      <c r="X24" s="269">
        <f t="shared" si="8"/>
        <v>9880200</v>
      </c>
      <c r="Y24" s="269">
        <f t="shared" si="8"/>
        <v>10329300</v>
      </c>
      <c r="Z24" s="269">
        <f t="shared" si="8"/>
        <v>10778400</v>
      </c>
      <c r="AA24" s="269">
        <f t="shared" si="8"/>
        <v>11227500</v>
      </c>
      <c r="AB24" s="269">
        <f t="shared" si="8"/>
        <v>11676600</v>
      </c>
      <c r="AC24" s="269">
        <f t="shared" si="8"/>
        <v>12125700</v>
      </c>
      <c r="AD24" s="269">
        <f t="shared" si="8"/>
        <v>12574800</v>
      </c>
      <c r="AE24" s="332">
        <f t="shared" si="8"/>
        <v>13023900</v>
      </c>
      <c r="AF24" s="337">
        <f t="shared" si="8"/>
        <v>13473000</v>
      </c>
      <c r="AG24" s="335"/>
      <c r="AH24" s="335"/>
      <c r="AI24" s="335"/>
      <c r="AJ24" s="335"/>
      <c r="AK24" s="335"/>
      <c r="AL24" s="335"/>
      <c r="AM24" s="335"/>
    </row>
    <row r="25" spans="1:39" ht="15.75" customHeight="1" x14ac:dyDescent="0.25">
      <c r="A25" s="255" t="s">
        <v>352</v>
      </c>
      <c r="B25" s="261">
        <f t="shared" ref="B25:AF25" si="9">$C$5</f>
        <v>3074192.72605325</v>
      </c>
      <c r="C25" s="261">
        <f t="shared" si="9"/>
        <v>3074192.72605325</v>
      </c>
      <c r="D25" s="261">
        <f t="shared" si="9"/>
        <v>3074192.72605325</v>
      </c>
      <c r="E25" s="271">
        <f t="shared" si="9"/>
        <v>3074192.72605325</v>
      </c>
      <c r="F25" s="261">
        <f t="shared" si="9"/>
        <v>3074192.72605325</v>
      </c>
      <c r="G25" s="269">
        <f t="shared" si="9"/>
        <v>3074192.72605325</v>
      </c>
      <c r="H25" s="269">
        <f>$C$5</f>
        <v>3074192.72605325</v>
      </c>
      <c r="I25" s="261">
        <f t="shared" si="9"/>
        <v>3074192.72605325</v>
      </c>
      <c r="J25" s="261">
        <f t="shared" si="9"/>
        <v>3074192.72605325</v>
      </c>
      <c r="K25" s="261">
        <f t="shared" si="9"/>
        <v>3074192.72605325</v>
      </c>
      <c r="L25" s="271">
        <f t="shared" si="9"/>
        <v>3074192.72605325</v>
      </c>
      <c r="M25" s="261">
        <f t="shared" si="9"/>
        <v>3074192.72605325</v>
      </c>
      <c r="N25" s="261">
        <f t="shared" si="9"/>
        <v>3074192.72605325</v>
      </c>
      <c r="O25" s="261">
        <f t="shared" si="9"/>
        <v>3074192.72605325</v>
      </c>
      <c r="P25" s="261">
        <f t="shared" si="9"/>
        <v>3074192.72605325</v>
      </c>
      <c r="Q25" s="271">
        <f t="shared" si="9"/>
        <v>3074192.72605325</v>
      </c>
      <c r="R25" s="261">
        <f t="shared" si="9"/>
        <v>3074192.72605325</v>
      </c>
      <c r="S25" s="269">
        <f t="shared" si="9"/>
        <v>3074192.72605325</v>
      </c>
      <c r="T25" s="269">
        <f>$C$5</f>
        <v>3074192.72605325</v>
      </c>
      <c r="U25" s="269">
        <f t="shared" si="9"/>
        <v>3074192.72605325</v>
      </c>
      <c r="V25" s="269">
        <f t="shared" si="9"/>
        <v>3074192.72605325</v>
      </c>
      <c r="W25" s="269">
        <f t="shared" si="9"/>
        <v>3074192.72605325</v>
      </c>
      <c r="X25" s="269">
        <f t="shared" si="9"/>
        <v>3074192.72605325</v>
      </c>
      <c r="Y25" s="269">
        <f t="shared" si="9"/>
        <v>3074192.72605325</v>
      </c>
      <c r="Z25" s="269">
        <f t="shared" si="9"/>
        <v>3074192.72605325</v>
      </c>
      <c r="AA25" s="269">
        <f t="shared" si="9"/>
        <v>3074192.72605325</v>
      </c>
      <c r="AB25" s="269">
        <f t="shared" si="9"/>
        <v>3074192.72605325</v>
      </c>
      <c r="AC25" s="269">
        <f t="shared" si="9"/>
        <v>3074192.72605325</v>
      </c>
      <c r="AD25" s="269">
        <f t="shared" si="9"/>
        <v>3074192.72605325</v>
      </c>
      <c r="AE25" s="332">
        <f t="shared" si="9"/>
        <v>3074192.72605325</v>
      </c>
      <c r="AF25" s="337">
        <f t="shared" si="9"/>
        <v>3074192.72605325</v>
      </c>
      <c r="AG25" s="335"/>
      <c r="AH25" s="335"/>
      <c r="AI25" s="335"/>
      <c r="AJ25" s="335"/>
      <c r="AK25" s="335"/>
      <c r="AL25" s="335"/>
      <c r="AM25" s="335"/>
    </row>
    <row r="26" spans="1:39" ht="15.75" customHeight="1" x14ac:dyDescent="0.25">
      <c r="A26" s="255" t="s">
        <v>120</v>
      </c>
      <c r="B26" s="261">
        <f t="shared" ref="B26:H26" si="10">B25+B23</f>
        <v>3074192.72605325</v>
      </c>
      <c r="C26" s="261">
        <f t="shared" si="10"/>
        <v>3760092.72605325</v>
      </c>
      <c r="D26" s="261">
        <f t="shared" si="10"/>
        <v>4445992.72605325</v>
      </c>
      <c r="E26" s="271">
        <f t="shared" si="10"/>
        <v>5131892.72605325</v>
      </c>
      <c r="F26" s="261">
        <f t="shared" si="10"/>
        <v>5817792.72605325</v>
      </c>
      <c r="G26" s="269">
        <f t="shared" si="10"/>
        <v>6503692.72605325</v>
      </c>
      <c r="H26" s="269">
        <f t="shared" si="10"/>
        <v>7189592.72605325</v>
      </c>
      <c r="I26" s="261">
        <f t="shared" ref="I26:T26" si="11">I25+I23</f>
        <v>7875492.72605325</v>
      </c>
      <c r="J26" s="261">
        <f t="shared" si="11"/>
        <v>8561392.7260532491</v>
      </c>
      <c r="K26" s="261">
        <f t="shared" si="11"/>
        <v>9247292.7260532491</v>
      </c>
      <c r="L26" s="271">
        <f t="shared" si="11"/>
        <v>9933192.7260532491</v>
      </c>
      <c r="M26" s="261">
        <f t="shared" si="11"/>
        <v>10619092.726053249</v>
      </c>
      <c r="N26" s="261">
        <f t="shared" si="11"/>
        <v>11304992.726053249</v>
      </c>
      <c r="O26" s="261">
        <f t="shared" si="11"/>
        <v>11990892.726053249</v>
      </c>
      <c r="P26" s="261">
        <f t="shared" si="11"/>
        <v>12676792.726053249</v>
      </c>
      <c r="Q26" s="271">
        <f t="shared" si="11"/>
        <v>13362692.726053249</v>
      </c>
      <c r="R26" s="261">
        <f t="shared" si="11"/>
        <v>14048592.726053249</v>
      </c>
      <c r="S26" s="269">
        <f t="shared" si="11"/>
        <v>14734492.726053249</v>
      </c>
      <c r="T26" s="269">
        <f t="shared" si="11"/>
        <v>15420392.726053249</v>
      </c>
      <c r="U26" s="269">
        <f t="shared" ref="U26:AF26" si="12">U25+U23</f>
        <v>16106292.726053249</v>
      </c>
      <c r="V26" s="269">
        <f t="shared" si="12"/>
        <v>16792192.726053249</v>
      </c>
      <c r="W26" s="269">
        <f t="shared" si="12"/>
        <v>17478092.726053249</v>
      </c>
      <c r="X26" s="269">
        <f t="shared" si="12"/>
        <v>18163992.726053249</v>
      </c>
      <c r="Y26" s="269">
        <f t="shared" si="12"/>
        <v>18849892.726053249</v>
      </c>
      <c r="Z26" s="269">
        <f t="shared" si="12"/>
        <v>19535792.726053249</v>
      </c>
      <c r="AA26" s="269">
        <f t="shared" si="12"/>
        <v>20221692.726053249</v>
      </c>
      <c r="AB26" s="269">
        <f t="shared" si="12"/>
        <v>20907592.726053249</v>
      </c>
      <c r="AC26" s="269">
        <f t="shared" si="12"/>
        <v>21593492.726053249</v>
      </c>
      <c r="AD26" s="269">
        <f t="shared" si="12"/>
        <v>22279392.726053249</v>
      </c>
      <c r="AE26" s="332">
        <f t="shared" si="12"/>
        <v>22965292.726053249</v>
      </c>
      <c r="AF26" s="337">
        <f t="shared" si="12"/>
        <v>23651192.726053249</v>
      </c>
      <c r="AG26" s="335"/>
      <c r="AH26" s="335"/>
      <c r="AI26" s="335"/>
      <c r="AJ26" s="335"/>
      <c r="AK26" s="335"/>
      <c r="AL26" s="335"/>
      <c r="AM26" s="335"/>
    </row>
    <row r="27" spans="1:39" ht="15.75" customHeight="1" x14ac:dyDescent="0.25">
      <c r="A27" s="255" t="s">
        <v>351</v>
      </c>
      <c r="B27" s="276">
        <f t="shared" ref="B27:H27" si="13">B22-B26</f>
        <v>-3074192.72605325</v>
      </c>
      <c r="C27" s="276">
        <f t="shared" si="13"/>
        <v>-2625092.72605325</v>
      </c>
      <c r="D27" s="276">
        <f t="shared" si="13"/>
        <v>-2175992.72605325</v>
      </c>
      <c r="E27" s="277">
        <f t="shared" si="13"/>
        <v>-1726892.72605325</v>
      </c>
      <c r="F27" s="276">
        <f t="shared" si="13"/>
        <v>-1277792.72605325</v>
      </c>
      <c r="G27" s="331">
        <f t="shared" si="13"/>
        <v>-828692.72605325002</v>
      </c>
      <c r="H27" s="331">
        <f t="shared" si="13"/>
        <v>-379592.72605325002</v>
      </c>
      <c r="I27" s="279">
        <f t="shared" ref="I27:T27" si="14">I22-I26</f>
        <v>69507.273946749978</v>
      </c>
      <c r="J27" s="279">
        <f t="shared" si="14"/>
        <v>518607.27394675091</v>
      </c>
      <c r="K27" s="279">
        <f t="shared" si="14"/>
        <v>967707.27394675091</v>
      </c>
      <c r="L27" s="280">
        <f t="shared" si="14"/>
        <v>1416807.2739467509</v>
      </c>
      <c r="M27" s="279">
        <f t="shared" si="14"/>
        <v>1865907.2739467509</v>
      </c>
      <c r="N27" s="279">
        <f t="shared" si="14"/>
        <v>2315007.2739467509</v>
      </c>
      <c r="O27" s="279">
        <f t="shared" si="14"/>
        <v>2764107.2739467509</v>
      </c>
      <c r="P27" s="279">
        <f t="shared" si="14"/>
        <v>3213207.2739467509</v>
      </c>
      <c r="Q27" s="280">
        <f t="shared" si="14"/>
        <v>3662307.2739467509</v>
      </c>
      <c r="R27" s="279">
        <f t="shared" si="14"/>
        <v>4111407.2739467509</v>
      </c>
      <c r="S27" s="278">
        <f t="shared" si="14"/>
        <v>4560507.2739467509</v>
      </c>
      <c r="T27" s="278">
        <f t="shared" si="14"/>
        <v>5009607.2739467509</v>
      </c>
      <c r="U27" s="278">
        <f t="shared" ref="U27:AF27" si="15">U22-U26</f>
        <v>5458707.2739467509</v>
      </c>
      <c r="V27" s="278">
        <f t="shared" si="15"/>
        <v>5907807.2739467509</v>
      </c>
      <c r="W27" s="278">
        <f t="shared" si="15"/>
        <v>6356907.2739467509</v>
      </c>
      <c r="X27" s="278">
        <f t="shared" si="15"/>
        <v>6806007.2739467509</v>
      </c>
      <c r="Y27" s="278">
        <f t="shared" si="15"/>
        <v>7255107.2739467509</v>
      </c>
      <c r="Z27" s="278">
        <f t="shared" si="15"/>
        <v>7704207.2739467509</v>
      </c>
      <c r="AA27" s="278">
        <f t="shared" si="15"/>
        <v>8153307.2739467509</v>
      </c>
      <c r="AB27" s="278">
        <f t="shared" si="15"/>
        <v>8602407.2739467509</v>
      </c>
      <c r="AC27" s="278">
        <f t="shared" si="15"/>
        <v>9051507.2739467509</v>
      </c>
      <c r="AD27" s="278">
        <f t="shared" si="15"/>
        <v>9500607.2739467509</v>
      </c>
      <c r="AE27" s="333">
        <f t="shared" si="15"/>
        <v>9949707.2739467509</v>
      </c>
      <c r="AF27" s="338">
        <f t="shared" si="15"/>
        <v>10398807.273946751</v>
      </c>
      <c r="AG27" s="336"/>
      <c r="AH27" s="336"/>
      <c r="AI27" s="336"/>
      <c r="AJ27" s="336"/>
      <c r="AK27" s="336"/>
      <c r="AL27" s="336"/>
      <c r="AM27" s="336"/>
    </row>
    <row r="28" spans="1:39" ht="15.75" customHeight="1" x14ac:dyDescent="0.25"/>
    <row r="29" spans="1:39" ht="15.75" customHeight="1" x14ac:dyDescent="0.25"/>
    <row r="30" spans="1:39" ht="15.75" customHeight="1" x14ac:dyDescent="0.25"/>
    <row r="31" spans="1:39" ht="15.75" customHeight="1" x14ac:dyDescent="0.25"/>
    <row r="32" spans="1:3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5">
    <mergeCell ref="A9:A10"/>
    <mergeCell ref="B9:D9"/>
    <mergeCell ref="G9:G10"/>
    <mergeCell ref="B10:D10"/>
    <mergeCell ref="A12:A13"/>
    <mergeCell ref="B12:D12"/>
    <mergeCell ref="G12:G13"/>
    <mergeCell ref="B13:B14"/>
    <mergeCell ref="E9:E10"/>
    <mergeCell ref="E12:E13"/>
    <mergeCell ref="E16:E17"/>
    <mergeCell ref="G16:G17"/>
    <mergeCell ref="I9:I10"/>
    <mergeCell ref="I12:I13"/>
    <mergeCell ref="I16:I17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A85-10DC-4139-9184-5F68AB490036}">
  <dimension ref="A1:S71"/>
  <sheetViews>
    <sheetView zoomScale="55" zoomScaleNormal="55" workbookViewId="0">
      <selection activeCell="J37" sqref="J37"/>
    </sheetView>
  </sheetViews>
  <sheetFormatPr baseColWidth="10" defaultColWidth="11.42578125" defaultRowHeight="12.75" x14ac:dyDescent="0.2"/>
  <cols>
    <col min="1" max="1" width="45.7109375" customWidth="1"/>
    <col min="2" max="2" width="17" customWidth="1"/>
    <col min="3" max="3" width="15.42578125" bestFit="1" customWidth="1"/>
    <col min="4" max="4" width="20.28515625" bestFit="1" customWidth="1"/>
    <col min="5" max="5" width="20.85546875" bestFit="1" customWidth="1"/>
    <col min="6" max="6" width="21.42578125" customWidth="1"/>
    <col min="7" max="7" width="41" bestFit="1" customWidth="1"/>
    <col min="10" max="10" width="13.140625" bestFit="1" customWidth="1"/>
    <col min="11" max="11" width="15.85546875" bestFit="1" customWidth="1"/>
    <col min="12" max="12" width="14.42578125" bestFit="1" customWidth="1"/>
    <col min="13" max="13" width="35.7109375" bestFit="1" customWidth="1"/>
    <col min="16" max="16" width="16" bestFit="1" customWidth="1"/>
    <col min="17" max="17" width="15.85546875" bestFit="1" customWidth="1"/>
    <col min="18" max="18" width="14.42578125" bestFit="1" customWidth="1"/>
  </cols>
  <sheetData>
    <row r="1" spans="1:19" ht="18" x14ac:dyDescent="0.25">
      <c r="A1" s="39" t="s">
        <v>35</v>
      </c>
    </row>
    <row r="3" spans="1:19" ht="18" x14ac:dyDescent="0.25">
      <c r="A3" s="39" t="s">
        <v>70</v>
      </c>
    </row>
    <row r="5" spans="1:19" ht="15.75" x14ac:dyDescent="0.25">
      <c r="A5" s="2" t="s">
        <v>14</v>
      </c>
      <c r="B5" s="2"/>
    </row>
    <row r="6" spans="1:19" ht="15.75" x14ac:dyDescent="0.25">
      <c r="A6" s="2" t="s">
        <v>15</v>
      </c>
      <c r="B6" s="2"/>
    </row>
    <row r="7" spans="1:19" ht="15.75" x14ac:dyDescent="0.25">
      <c r="A7" s="2" t="s">
        <v>16</v>
      </c>
      <c r="B7" s="2"/>
    </row>
    <row r="8" spans="1:19" ht="15.75" x14ac:dyDescent="0.25">
      <c r="A8" s="144"/>
      <c r="B8" s="144"/>
      <c r="C8" s="144"/>
      <c r="D8" s="144"/>
      <c r="E8" s="144"/>
      <c r="F8" s="11"/>
      <c r="G8" s="11"/>
      <c r="H8" s="11"/>
      <c r="I8" s="11"/>
    </row>
    <row r="9" spans="1:19" ht="15" x14ac:dyDescent="0.2">
      <c r="A9" s="11"/>
      <c r="B9" s="82"/>
      <c r="C9" s="145"/>
      <c r="D9" s="83"/>
      <c r="E9" s="83"/>
      <c r="F9" s="11"/>
      <c r="G9" s="11"/>
      <c r="H9" s="11"/>
      <c r="I9" s="11"/>
    </row>
    <row r="10" spans="1:19" ht="14.25" customHeight="1" x14ac:dyDescent="0.25">
      <c r="A10" s="647" t="s">
        <v>71</v>
      </c>
      <c r="B10" s="648"/>
      <c r="C10" s="648"/>
      <c r="D10" s="648"/>
      <c r="E10" s="649"/>
      <c r="F10" s="11"/>
      <c r="G10" s="647" t="s">
        <v>71</v>
      </c>
      <c r="H10" s="648"/>
      <c r="I10" s="648"/>
      <c r="J10" s="648"/>
      <c r="K10" s="649"/>
      <c r="M10" s="647" t="s">
        <v>71</v>
      </c>
      <c r="N10" s="648"/>
      <c r="O10" s="648"/>
      <c r="P10" s="648"/>
      <c r="Q10" s="649"/>
    </row>
    <row r="11" spans="1:19" ht="15.75" x14ac:dyDescent="0.25">
      <c r="A11" s="80" t="s">
        <v>186</v>
      </c>
      <c r="B11" s="128" t="s">
        <v>24</v>
      </c>
      <c r="C11" s="128" t="s">
        <v>72</v>
      </c>
      <c r="D11" s="128" t="s">
        <v>150</v>
      </c>
      <c r="E11" s="128" t="s">
        <v>151</v>
      </c>
      <c r="F11" s="11"/>
      <c r="G11" s="80" t="s">
        <v>187</v>
      </c>
      <c r="H11" s="128" t="s">
        <v>24</v>
      </c>
      <c r="I11" s="128" t="s">
        <v>72</v>
      </c>
      <c r="J11" s="128" t="s">
        <v>150</v>
      </c>
      <c r="K11" s="128" t="s">
        <v>151</v>
      </c>
      <c r="M11" s="80" t="s">
        <v>188</v>
      </c>
      <c r="N11" s="128" t="s">
        <v>24</v>
      </c>
      <c r="O11" s="128" t="s">
        <v>72</v>
      </c>
      <c r="P11" s="128" t="s">
        <v>150</v>
      </c>
      <c r="Q11" s="128" t="s">
        <v>151</v>
      </c>
    </row>
    <row r="12" spans="1:19" ht="15" x14ac:dyDescent="0.2">
      <c r="A12" s="63" t="s">
        <v>247</v>
      </c>
      <c r="B12" s="78" t="s">
        <v>189</v>
      </c>
      <c r="C12" s="128" t="s">
        <v>190</v>
      </c>
      <c r="D12" s="157">
        <v>6</v>
      </c>
      <c r="E12" s="157">
        <f>D12*$F$19</f>
        <v>72000</v>
      </c>
      <c r="F12" s="11"/>
      <c r="G12" s="63" t="s">
        <v>191</v>
      </c>
      <c r="H12" s="78" t="s">
        <v>189</v>
      </c>
      <c r="I12" s="128">
        <v>120</v>
      </c>
      <c r="J12" s="157">
        <v>50</v>
      </c>
      <c r="K12" s="118">
        <f>J12*$F$20</f>
        <v>45000</v>
      </c>
      <c r="M12" s="63" t="s">
        <v>247</v>
      </c>
      <c r="N12" s="78" t="s">
        <v>189</v>
      </c>
      <c r="O12" s="128">
        <v>600</v>
      </c>
      <c r="P12" s="157">
        <v>70</v>
      </c>
      <c r="Q12" s="157">
        <f>P12*$F$21</f>
        <v>42000</v>
      </c>
      <c r="R12" s="165"/>
      <c r="S12" s="165"/>
    </row>
    <row r="13" spans="1:19" ht="15" x14ac:dyDescent="0.2">
      <c r="A13" s="63" t="s">
        <v>192</v>
      </c>
      <c r="B13" s="78" t="s">
        <v>193</v>
      </c>
      <c r="C13" s="128">
        <v>1</v>
      </c>
      <c r="D13" s="157">
        <v>0.2</v>
      </c>
      <c r="E13" s="157">
        <f>D13*$F$19</f>
        <v>2400</v>
      </c>
      <c r="F13" s="11"/>
      <c r="G13" s="63" t="s">
        <v>194</v>
      </c>
      <c r="H13" s="78" t="s">
        <v>193</v>
      </c>
      <c r="I13" s="128">
        <v>2</v>
      </c>
      <c r="J13" s="157">
        <v>4</v>
      </c>
      <c r="K13" s="118">
        <f>J13*$F$20</f>
        <v>3600</v>
      </c>
      <c r="M13" s="63" t="s">
        <v>195</v>
      </c>
      <c r="N13" s="78" t="s">
        <v>189</v>
      </c>
      <c r="O13" s="128">
        <v>50</v>
      </c>
      <c r="P13" s="157">
        <v>21</v>
      </c>
      <c r="Q13" s="157">
        <f t="shared" ref="Q13:Q17" si="0">P13*$F$21</f>
        <v>12600</v>
      </c>
    </row>
    <row r="14" spans="1:19" ht="15.75" x14ac:dyDescent="0.25">
      <c r="A14" s="63" t="s">
        <v>196</v>
      </c>
      <c r="B14" s="78" t="s">
        <v>189</v>
      </c>
      <c r="C14" s="128">
        <v>5</v>
      </c>
      <c r="D14" s="157">
        <v>0.2</v>
      </c>
      <c r="E14" s="157">
        <f>D14*$F$19</f>
        <v>2400</v>
      </c>
      <c r="F14" s="11"/>
      <c r="G14" s="80" t="s">
        <v>31</v>
      </c>
      <c r="H14" s="128" t="s">
        <v>148</v>
      </c>
      <c r="I14" s="128" t="s">
        <v>148</v>
      </c>
      <c r="J14" s="561">
        <v>54</v>
      </c>
      <c r="K14" s="118">
        <f>SUM(K12:K13)</f>
        <v>48600</v>
      </c>
      <c r="L14" s="2" t="s">
        <v>197</v>
      </c>
      <c r="M14" s="63" t="s">
        <v>192</v>
      </c>
      <c r="N14" s="78" t="s">
        <v>193</v>
      </c>
      <c r="O14" s="128">
        <v>18</v>
      </c>
      <c r="P14" s="157">
        <v>3.6</v>
      </c>
      <c r="Q14" s="157">
        <f t="shared" si="0"/>
        <v>2160</v>
      </c>
    </row>
    <row r="15" spans="1:19" ht="15.75" x14ac:dyDescent="0.25">
      <c r="A15" s="63" t="s">
        <v>198</v>
      </c>
      <c r="B15" s="78" t="s">
        <v>189</v>
      </c>
      <c r="C15" s="128">
        <v>2</v>
      </c>
      <c r="D15" s="157">
        <v>0.1</v>
      </c>
      <c r="E15" s="157">
        <f>D15*$F$19</f>
        <v>1200</v>
      </c>
      <c r="F15" s="11"/>
      <c r="G15" s="2"/>
      <c r="H15" s="11"/>
      <c r="I15" s="11"/>
      <c r="J15" s="11"/>
      <c r="K15" s="11"/>
      <c r="M15" s="63" t="s">
        <v>199</v>
      </c>
      <c r="N15" s="78" t="s">
        <v>189</v>
      </c>
      <c r="O15" s="128">
        <v>50</v>
      </c>
      <c r="P15" s="157">
        <v>6</v>
      </c>
      <c r="Q15" s="157">
        <f>P15*$F$21</f>
        <v>3600</v>
      </c>
    </row>
    <row r="16" spans="1:19" ht="15" x14ac:dyDescent="0.2">
      <c r="A16" s="63" t="s">
        <v>200</v>
      </c>
      <c r="B16" s="78" t="s">
        <v>189</v>
      </c>
      <c r="C16" s="128">
        <v>2</v>
      </c>
      <c r="D16" s="157">
        <v>0.1</v>
      </c>
      <c r="E16" s="157">
        <f>D16*$F$19</f>
        <v>1200</v>
      </c>
      <c r="F16" s="11"/>
      <c r="G16" s="11"/>
      <c r="H16" s="11"/>
      <c r="I16" s="11"/>
      <c r="J16" s="11"/>
      <c r="K16" s="233" t="e">
        <f>J14/L14</f>
        <v>#VALUE!</v>
      </c>
      <c r="M16" s="63" t="s">
        <v>198</v>
      </c>
      <c r="N16" s="78" t="s">
        <v>189</v>
      </c>
      <c r="O16" s="128">
        <v>50</v>
      </c>
      <c r="P16" s="157">
        <v>5</v>
      </c>
      <c r="Q16" s="157">
        <f t="shared" si="0"/>
        <v>3000</v>
      </c>
    </row>
    <row r="17" spans="1:18" ht="15.75" x14ac:dyDescent="0.25">
      <c r="A17" s="80" t="s">
        <v>31</v>
      </c>
      <c r="B17" s="128" t="s">
        <v>148</v>
      </c>
      <c r="C17" s="128" t="s">
        <v>148</v>
      </c>
      <c r="D17" s="561">
        <v>6.6</v>
      </c>
      <c r="E17" s="164">
        <f>SUM(E12:E16)</f>
        <v>79200</v>
      </c>
      <c r="F17" s="188">
        <v>14</v>
      </c>
      <c r="G17" s="231">
        <f>D17/F17</f>
        <v>0.47142857142857142</v>
      </c>
      <c r="H17" s="11"/>
      <c r="I17" s="11"/>
      <c r="J17" s="11"/>
      <c r="K17" s="2"/>
      <c r="M17" s="63" t="s">
        <v>201</v>
      </c>
      <c r="N17" s="78" t="s">
        <v>189</v>
      </c>
      <c r="O17" s="128">
        <v>50</v>
      </c>
      <c r="P17" s="157">
        <v>4</v>
      </c>
      <c r="Q17" s="157">
        <f t="shared" si="0"/>
        <v>2400</v>
      </c>
    </row>
    <row r="18" spans="1:18" ht="15.75" x14ac:dyDescent="0.25">
      <c r="A18" s="2"/>
      <c r="B18" s="11"/>
      <c r="C18" s="11"/>
      <c r="D18" s="11"/>
      <c r="E18" s="2" t="s">
        <v>244</v>
      </c>
      <c r="F18" s="11" t="s">
        <v>245</v>
      </c>
      <c r="G18" s="11"/>
      <c r="H18" s="11"/>
      <c r="I18" s="11"/>
      <c r="M18" s="80" t="s">
        <v>31</v>
      </c>
      <c r="N18" s="128" t="s">
        <v>148</v>
      </c>
      <c r="O18" s="128" t="s">
        <v>148</v>
      </c>
      <c r="P18" s="562" t="s">
        <v>202</v>
      </c>
      <c r="Q18" s="164">
        <f>SUM(Q12:Q17)</f>
        <v>65760</v>
      </c>
      <c r="R18" s="2" t="s">
        <v>203</v>
      </c>
    </row>
    <row r="19" spans="1:18" ht="15.75" x14ac:dyDescent="0.25">
      <c r="A19" s="2"/>
      <c r="B19" s="11"/>
      <c r="C19" s="11"/>
      <c r="D19" s="11" t="s">
        <v>241</v>
      </c>
      <c r="E19" s="2">
        <v>400</v>
      </c>
      <c r="F19" s="11">
        <f>E19*30</f>
        <v>12000</v>
      </c>
      <c r="G19" s="11"/>
      <c r="H19" s="167"/>
      <c r="I19" s="167"/>
    </row>
    <row r="20" spans="1:18" ht="15.75" x14ac:dyDescent="0.25">
      <c r="A20" s="2"/>
      <c r="B20" s="11"/>
      <c r="C20" s="11"/>
      <c r="D20" s="11" t="s">
        <v>242</v>
      </c>
      <c r="E20" s="2">
        <v>30</v>
      </c>
      <c r="F20" s="11">
        <f>E20*30</f>
        <v>900</v>
      </c>
      <c r="G20" s="11"/>
      <c r="H20" s="11"/>
      <c r="I20" s="11"/>
      <c r="Q20" s="234" t="e">
        <f>P18/R18</f>
        <v>#VALUE!</v>
      </c>
    </row>
    <row r="21" spans="1:18" ht="15" x14ac:dyDescent="0.2">
      <c r="A21" s="11"/>
      <c r="B21" s="11"/>
      <c r="C21" s="11"/>
      <c r="D21" s="11" t="s">
        <v>243</v>
      </c>
      <c r="E21" s="11">
        <v>20</v>
      </c>
      <c r="F21" s="11">
        <f>E21*30</f>
        <v>600</v>
      </c>
      <c r="G21" s="11"/>
      <c r="H21" s="11"/>
      <c r="I21" s="11"/>
    </row>
    <row r="22" spans="1:18" ht="15" x14ac:dyDescent="0.2">
      <c r="A22" s="11"/>
      <c r="B22" s="11"/>
      <c r="C22" s="11"/>
      <c r="D22" s="11"/>
      <c r="E22" s="11"/>
      <c r="F22" s="11"/>
      <c r="G22" s="11"/>
      <c r="H22" s="11"/>
      <c r="I22" s="11"/>
    </row>
    <row r="23" spans="1:18" ht="14.25" customHeight="1" x14ac:dyDescent="0.25">
      <c r="A23" s="647" t="s">
        <v>347</v>
      </c>
      <c r="B23" s="648"/>
      <c r="C23" s="648"/>
      <c r="D23" s="648"/>
      <c r="E23" s="65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8" ht="15.75" x14ac:dyDescent="0.25">
      <c r="A24" s="78" t="s">
        <v>148</v>
      </c>
      <c r="B24" s="128" t="s">
        <v>204</v>
      </c>
      <c r="C24" s="128" t="s">
        <v>205</v>
      </c>
      <c r="D24" s="128" t="s">
        <v>72</v>
      </c>
      <c r="E24" s="128" t="s">
        <v>206</v>
      </c>
      <c r="F24" s="56" t="s">
        <v>207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" x14ac:dyDescent="0.2">
      <c r="A25" s="78" t="s">
        <v>152</v>
      </c>
      <c r="B25" s="147">
        <v>0.6</v>
      </c>
      <c r="C25" s="128" t="s">
        <v>146</v>
      </c>
      <c r="D25" s="128">
        <v>1</v>
      </c>
      <c r="E25" s="235">
        <v>8000</v>
      </c>
      <c r="F25" s="235">
        <f>E25*0.6</f>
        <v>4800</v>
      </c>
    </row>
    <row r="26" spans="1:18" ht="15" x14ac:dyDescent="0.2">
      <c r="A26" s="78" t="s">
        <v>208</v>
      </c>
      <c r="B26" s="147">
        <v>0.8</v>
      </c>
      <c r="C26" s="128" t="s">
        <v>146</v>
      </c>
      <c r="D26" s="128">
        <v>1</v>
      </c>
      <c r="E26" s="235">
        <v>1200</v>
      </c>
      <c r="F26" s="148">
        <v>960</v>
      </c>
    </row>
    <row r="27" spans="1:18" ht="15" x14ac:dyDescent="0.2">
      <c r="A27" s="78" t="s">
        <v>157</v>
      </c>
      <c r="B27" s="147">
        <v>0.7</v>
      </c>
      <c r="C27" s="128" t="s">
        <v>146</v>
      </c>
      <c r="D27" s="128">
        <v>1</v>
      </c>
      <c r="E27" s="148">
        <v>500</v>
      </c>
      <c r="F27" s="148">
        <v>350</v>
      </c>
    </row>
    <row r="28" spans="1:18" ht="15" x14ac:dyDescent="0.2">
      <c r="A28" s="78" t="s">
        <v>209</v>
      </c>
      <c r="B28" s="147">
        <v>1</v>
      </c>
      <c r="C28" s="128" t="s">
        <v>146</v>
      </c>
      <c r="D28" s="128">
        <v>1</v>
      </c>
      <c r="E28" s="235">
        <v>1000</v>
      </c>
      <c r="F28" s="235">
        <v>1000</v>
      </c>
    </row>
    <row r="29" spans="1:18" ht="15" x14ac:dyDescent="0.2">
      <c r="A29" s="78" t="s">
        <v>155</v>
      </c>
      <c r="B29" s="147">
        <v>0.7</v>
      </c>
      <c r="C29" s="128" t="s">
        <v>146</v>
      </c>
      <c r="D29" s="128">
        <v>1</v>
      </c>
      <c r="E29" s="148">
        <v>350</v>
      </c>
      <c r="F29" s="148">
        <v>350</v>
      </c>
    </row>
    <row r="30" spans="1:18" ht="15" x14ac:dyDescent="0.2">
      <c r="A30" s="78" t="s">
        <v>210</v>
      </c>
      <c r="B30" s="147">
        <v>1</v>
      </c>
      <c r="C30" s="128" t="s">
        <v>146</v>
      </c>
      <c r="D30" s="128">
        <v>1</v>
      </c>
      <c r="E30" s="235">
        <v>1500</v>
      </c>
      <c r="F30" s="235">
        <v>1500</v>
      </c>
    </row>
    <row r="31" spans="1:18" ht="15.75" x14ac:dyDescent="0.25">
      <c r="A31" s="80" t="s">
        <v>31</v>
      </c>
      <c r="B31" s="146" t="s">
        <v>148</v>
      </c>
      <c r="C31" s="128" t="s">
        <v>148</v>
      </c>
      <c r="D31" s="128" t="s">
        <v>148</v>
      </c>
      <c r="E31" s="148" t="s">
        <v>148</v>
      </c>
      <c r="F31" s="563">
        <f>SUM(F25:F30)</f>
        <v>8960</v>
      </c>
      <c r="G31" s="230"/>
      <c r="H31" s="11"/>
      <c r="I31" s="11"/>
      <c r="J31" s="11"/>
    </row>
    <row r="32" spans="1:18" ht="15" x14ac:dyDescent="0.2">
      <c r="A32" s="11"/>
      <c r="B32" s="11"/>
      <c r="C32" s="11"/>
      <c r="D32" s="11"/>
      <c r="E32" s="11"/>
      <c r="F32" s="11"/>
      <c r="G32" s="11"/>
      <c r="H32" s="11"/>
      <c r="I32" s="11"/>
    </row>
    <row r="33" spans="1:9" ht="15" x14ac:dyDescent="0.2">
      <c r="A33" s="11"/>
      <c r="B33" s="11"/>
      <c r="C33" s="11"/>
      <c r="D33" s="11"/>
      <c r="E33" s="11"/>
      <c r="F33" s="11"/>
      <c r="G33" s="11"/>
      <c r="H33" s="11"/>
      <c r="I33" s="11"/>
    </row>
    <row r="34" spans="1:9" ht="15" x14ac:dyDescent="0.2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15" x14ac:dyDescent="0.2">
      <c r="A35" s="11"/>
      <c r="B35" s="11"/>
      <c r="C35" s="11"/>
      <c r="D35" s="11"/>
      <c r="E35" s="11"/>
      <c r="F35" s="11"/>
      <c r="G35" s="11"/>
      <c r="H35" s="11"/>
      <c r="I35" s="11"/>
    </row>
    <row r="36" spans="1:9" ht="15" x14ac:dyDescent="0.2">
      <c r="A36" s="11"/>
      <c r="B36" s="11"/>
      <c r="C36" s="11"/>
      <c r="D36" s="11"/>
      <c r="E36" s="11"/>
      <c r="F36" s="11"/>
      <c r="G36" s="11"/>
      <c r="H36" s="11"/>
      <c r="I36" s="11"/>
    </row>
    <row r="37" spans="1:9" ht="15" x14ac:dyDescent="0.2">
      <c r="A37" s="11"/>
      <c r="B37" s="11"/>
      <c r="C37" s="11"/>
      <c r="D37" s="11"/>
      <c r="E37" s="11"/>
      <c r="F37" s="11"/>
      <c r="G37" s="11"/>
      <c r="H37" s="11"/>
      <c r="I37" s="11"/>
    </row>
    <row r="38" spans="1:9" ht="14.25" customHeight="1" x14ac:dyDescent="0.25">
      <c r="A38" s="651" t="s">
        <v>75</v>
      </c>
      <c r="B38" s="652"/>
      <c r="C38" s="652"/>
      <c r="D38" s="652"/>
      <c r="E38" s="653"/>
      <c r="F38" s="11"/>
      <c r="G38" s="11"/>
      <c r="H38" s="11"/>
      <c r="I38" s="11"/>
    </row>
    <row r="39" spans="1:9" ht="15" x14ac:dyDescent="0.2">
      <c r="A39" s="556" t="s">
        <v>62</v>
      </c>
      <c r="B39" s="557" t="s">
        <v>24</v>
      </c>
      <c r="C39" s="557" t="s">
        <v>72</v>
      </c>
      <c r="D39" s="557" t="s">
        <v>73</v>
      </c>
      <c r="E39" s="557" t="s">
        <v>26</v>
      </c>
      <c r="F39" s="11"/>
      <c r="G39" s="11"/>
      <c r="H39" s="11"/>
      <c r="I39" s="11"/>
    </row>
    <row r="40" spans="1:9" ht="75" x14ac:dyDescent="0.2">
      <c r="A40" s="130" t="s">
        <v>211</v>
      </c>
      <c r="B40" s="150" t="s">
        <v>212</v>
      </c>
      <c r="C40" s="152">
        <v>1</v>
      </c>
      <c r="D40" s="152" t="s">
        <v>213</v>
      </c>
      <c r="E40" s="152" t="s">
        <v>214</v>
      </c>
      <c r="F40" s="11"/>
      <c r="G40" s="11"/>
      <c r="H40" s="11"/>
      <c r="I40" s="11"/>
    </row>
    <row r="41" spans="1:9" ht="30" x14ac:dyDescent="0.2">
      <c r="A41" s="130" t="s">
        <v>215</v>
      </c>
      <c r="B41" s="151" t="s">
        <v>212</v>
      </c>
      <c r="C41" s="151">
        <v>1</v>
      </c>
      <c r="D41" s="151" t="s">
        <v>216</v>
      </c>
      <c r="E41" s="151" t="s">
        <v>148</v>
      </c>
      <c r="F41" s="11"/>
      <c r="G41" s="11"/>
      <c r="H41" s="11"/>
      <c r="I41" s="11"/>
    </row>
    <row r="42" spans="1:9" ht="15.75" x14ac:dyDescent="0.25">
      <c r="A42" s="134" t="s">
        <v>31</v>
      </c>
      <c r="B42" s="128" t="s">
        <v>148</v>
      </c>
      <c r="C42" s="128" t="s">
        <v>148</v>
      </c>
      <c r="D42" s="128" t="s">
        <v>148</v>
      </c>
      <c r="E42" s="564" t="s">
        <v>214</v>
      </c>
      <c r="F42" s="11"/>
      <c r="G42" s="11"/>
      <c r="H42" s="11"/>
      <c r="I42" s="11"/>
    </row>
    <row r="43" spans="1:9" ht="14.25" customHeight="1" x14ac:dyDescent="0.2">
      <c r="A43" s="654" t="s">
        <v>217</v>
      </c>
      <c r="B43" s="655"/>
      <c r="C43" s="655"/>
      <c r="D43" s="655"/>
      <c r="E43" s="656"/>
      <c r="F43" s="11"/>
      <c r="G43" s="11"/>
      <c r="H43" s="11"/>
      <c r="I43" s="11"/>
    </row>
    <row r="44" spans="1:9" ht="14.25" customHeight="1" x14ac:dyDescent="0.2">
      <c r="A44" s="657"/>
      <c r="B44" s="658"/>
      <c r="C44" s="658"/>
      <c r="D44" s="658"/>
      <c r="E44" s="659"/>
      <c r="F44" s="11"/>
      <c r="G44" s="11"/>
      <c r="H44" s="11"/>
      <c r="I44" s="11"/>
    </row>
    <row r="45" spans="1:9" ht="15" x14ac:dyDescent="0.2">
      <c r="A45" s="149"/>
      <c r="B45" s="11"/>
      <c r="C45" s="11"/>
      <c r="D45" s="11"/>
      <c r="E45" s="11"/>
      <c r="F45" s="11"/>
      <c r="G45" s="11"/>
      <c r="H45" s="11"/>
      <c r="I45" s="11"/>
    </row>
    <row r="46" spans="1:9" ht="15" x14ac:dyDescent="0.2">
      <c r="A46" s="149"/>
      <c r="B46" s="11"/>
      <c r="C46" s="11"/>
      <c r="D46" s="11"/>
      <c r="E46" s="11"/>
      <c r="F46" s="11"/>
      <c r="G46" s="11"/>
      <c r="H46" s="11"/>
      <c r="I46" s="11"/>
    </row>
    <row r="47" spans="1:9" ht="15" x14ac:dyDescent="0.2">
      <c r="A47" s="149"/>
      <c r="B47" s="11"/>
      <c r="C47" s="11"/>
      <c r="D47" s="11"/>
      <c r="E47" s="11"/>
      <c r="F47" s="11"/>
      <c r="G47" s="11"/>
      <c r="H47" s="11"/>
      <c r="I47" s="11"/>
    </row>
    <row r="48" spans="1:9" ht="15" x14ac:dyDescent="0.2">
      <c r="A48" s="149"/>
      <c r="B48" s="11"/>
      <c r="C48" s="11"/>
      <c r="D48" s="11"/>
      <c r="E48" s="11"/>
      <c r="F48" s="11"/>
      <c r="G48" s="11"/>
      <c r="H48" s="11"/>
      <c r="I48" s="11"/>
    </row>
    <row r="49" spans="1:9" ht="15" x14ac:dyDescent="0.2">
      <c r="A49" s="149"/>
      <c r="B49" s="11"/>
      <c r="C49" s="11"/>
      <c r="D49" s="11"/>
      <c r="E49" s="11"/>
      <c r="F49" s="11"/>
      <c r="G49" s="11"/>
      <c r="H49" s="11"/>
      <c r="I49" s="11"/>
    </row>
    <row r="50" spans="1:9" ht="15" x14ac:dyDescent="0.2">
      <c r="A50" s="149"/>
      <c r="B50" s="11"/>
      <c r="C50" s="11"/>
      <c r="D50" s="11"/>
      <c r="E50" s="11"/>
      <c r="F50" s="11"/>
      <c r="G50" s="11"/>
      <c r="H50" s="11"/>
      <c r="I50" s="11"/>
    </row>
    <row r="51" spans="1:9" ht="15.75" x14ac:dyDescent="0.25">
      <c r="A51" s="558" t="s">
        <v>74</v>
      </c>
      <c r="B51" s="559" t="s">
        <v>148</v>
      </c>
      <c r="C51" s="559" t="s">
        <v>148</v>
      </c>
      <c r="D51" s="559" t="s">
        <v>148</v>
      </c>
      <c r="E51" s="560" t="s">
        <v>148</v>
      </c>
      <c r="F51" s="11"/>
      <c r="G51" s="11"/>
      <c r="H51" s="11"/>
      <c r="I51" s="11"/>
    </row>
    <row r="52" spans="1:9" ht="14.25" customHeight="1" x14ac:dyDescent="0.25">
      <c r="A52" s="644" t="s">
        <v>218</v>
      </c>
      <c r="B52" s="645"/>
      <c r="C52" s="645"/>
      <c r="D52" s="645"/>
      <c r="E52" s="646"/>
      <c r="F52" s="11"/>
      <c r="G52" s="11"/>
      <c r="H52" s="11"/>
      <c r="I52" s="11"/>
    </row>
    <row r="53" spans="1:9" ht="31.5" x14ac:dyDescent="0.25">
      <c r="A53" s="80" t="s">
        <v>148</v>
      </c>
      <c r="B53" s="153" t="s">
        <v>219</v>
      </c>
      <c r="C53" s="153" t="s">
        <v>220</v>
      </c>
      <c r="D53" s="153" t="s">
        <v>221</v>
      </c>
      <c r="E53" s="153" t="s">
        <v>222</v>
      </c>
      <c r="F53" s="11"/>
      <c r="G53" s="11"/>
      <c r="H53" s="11"/>
      <c r="I53" s="11"/>
    </row>
    <row r="54" spans="1:9" ht="15" x14ac:dyDescent="0.2">
      <c r="A54" s="78" t="s">
        <v>172</v>
      </c>
      <c r="B54" s="155">
        <v>2100</v>
      </c>
      <c r="C54" s="157">
        <v>1691.61</v>
      </c>
      <c r="D54" s="118">
        <v>6766.43</v>
      </c>
      <c r="E54" s="155">
        <v>13532.87</v>
      </c>
      <c r="G54" s="11"/>
      <c r="H54" s="11"/>
      <c r="I54" s="11"/>
    </row>
    <row r="55" spans="1:9" ht="15" x14ac:dyDescent="0.2">
      <c r="A55" s="78" t="s">
        <v>173</v>
      </c>
      <c r="B55" s="155">
        <v>1960</v>
      </c>
      <c r="C55" s="157">
        <v>1587.08</v>
      </c>
      <c r="D55" s="118">
        <v>6348.32</v>
      </c>
      <c r="E55" s="155">
        <v>12696.63</v>
      </c>
      <c r="G55" s="11"/>
      <c r="H55" s="11"/>
      <c r="I55" s="11"/>
    </row>
    <row r="56" spans="1:9" ht="15" x14ac:dyDescent="0.2">
      <c r="A56" s="78" t="s">
        <v>174</v>
      </c>
      <c r="B56" s="155">
        <v>1960</v>
      </c>
      <c r="C56" s="157">
        <v>1587.08</v>
      </c>
      <c r="D56" s="118">
        <v>6348.32</v>
      </c>
      <c r="E56" s="155">
        <v>12696.63</v>
      </c>
      <c r="G56" s="11"/>
      <c r="H56" s="11"/>
      <c r="I56" s="11"/>
    </row>
    <row r="57" spans="1:9" ht="15" x14ac:dyDescent="0.2">
      <c r="A57" s="78" t="s">
        <v>175</v>
      </c>
      <c r="B57" s="155">
        <v>1960</v>
      </c>
      <c r="C57" s="157">
        <v>1587.08</v>
      </c>
      <c r="D57" s="118">
        <v>6348.32</v>
      </c>
      <c r="E57" s="155">
        <v>12696.63</v>
      </c>
      <c r="G57" s="11"/>
      <c r="H57" s="11"/>
      <c r="I57" s="11"/>
    </row>
    <row r="58" spans="1:9" ht="15" x14ac:dyDescent="0.2">
      <c r="A58" s="78" t="s">
        <v>223</v>
      </c>
      <c r="B58" s="155">
        <v>1960</v>
      </c>
      <c r="C58" s="157">
        <v>1587.08</v>
      </c>
      <c r="D58" s="118">
        <v>6348.32</v>
      </c>
      <c r="E58" s="155">
        <v>12696.63</v>
      </c>
      <c r="G58" s="11"/>
      <c r="H58" s="11"/>
      <c r="I58" s="11"/>
    </row>
    <row r="59" spans="1:9" ht="15" x14ac:dyDescent="0.2">
      <c r="A59" s="63" t="s">
        <v>177</v>
      </c>
      <c r="B59" s="155">
        <v>1960</v>
      </c>
      <c r="C59" s="157">
        <v>1587.08</v>
      </c>
      <c r="D59" s="118">
        <v>6348.32</v>
      </c>
      <c r="E59" s="155">
        <v>12696.63</v>
      </c>
      <c r="G59" s="11"/>
      <c r="H59" s="11"/>
      <c r="I59" s="11"/>
    </row>
    <row r="60" spans="1:9" ht="15" x14ac:dyDescent="0.2">
      <c r="A60" s="63" t="s">
        <v>178</v>
      </c>
      <c r="B60" s="158">
        <v>2800</v>
      </c>
      <c r="C60" s="157">
        <v>2223.75</v>
      </c>
      <c r="D60" s="118">
        <v>8895.01</v>
      </c>
      <c r="E60" s="155">
        <v>17790.02</v>
      </c>
      <c r="G60" s="11"/>
      <c r="H60" s="11"/>
      <c r="I60" s="11"/>
    </row>
    <row r="61" spans="1:9" ht="15" x14ac:dyDescent="0.2">
      <c r="A61" s="63" t="s">
        <v>179</v>
      </c>
      <c r="B61" s="158">
        <v>2450</v>
      </c>
      <c r="C61" s="157">
        <v>1965.59</v>
      </c>
      <c r="D61" s="118">
        <v>7862.37</v>
      </c>
      <c r="E61" s="155">
        <v>15724.74</v>
      </c>
      <c r="G61" s="232"/>
      <c r="H61" s="11"/>
      <c r="I61" s="11"/>
    </row>
    <row r="62" spans="1:9" ht="15" x14ac:dyDescent="0.2">
      <c r="A62" s="63" t="s">
        <v>180</v>
      </c>
      <c r="B62" s="158">
        <v>2800</v>
      </c>
      <c r="C62" s="157">
        <v>2223.75</v>
      </c>
      <c r="D62" s="118">
        <v>8895.01</v>
      </c>
      <c r="E62" s="159">
        <v>17790.02</v>
      </c>
    </row>
    <row r="63" spans="1:9" ht="15.75" x14ac:dyDescent="0.25">
      <c r="A63" s="80" t="s">
        <v>31</v>
      </c>
      <c r="B63" s="128"/>
      <c r="C63" s="128" t="s">
        <v>148</v>
      </c>
      <c r="D63" s="565">
        <f>SUM(D54:D62)</f>
        <v>64160.420000000006</v>
      </c>
      <c r="E63" s="566" t="s">
        <v>224</v>
      </c>
    </row>
    <row r="65" spans="1:5" x14ac:dyDescent="0.2">
      <c r="D65" s="131"/>
    </row>
    <row r="68" spans="1:5" ht="15" x14ac:dyDescent="0.2">
      <c r="A68" s="11"/>
      <c r="B68" s="11"/>
      <c r="C68" s="11"/>
      <c r="D68" s="11"/>
      <c r="E68" s="11"/>
    </row>
    <row r="69" spans="1:5" ht="15" x14ac:dyDescent="0.2">
      <c r="A69" s="11"/>
      <c r="B69" s="11"/>
      <c r="C69" s="11"/>
      <c r="D69" s="11"/>
      <c r="E69" s="11"/>
    </row>
    <row r="70" spans="1:5" ht="15" x14ac:dyDescent="0.2">
      <c r="A70" s="11"/>
      <c r="B70" s="11"/>
      <c r="C70" s="11"/>
      <c r="D70" s="11"/>
      <c r="E70" s="11"/>
    </row>
    <row r="71" spans="1:5" ht="15" x14ac:dyDescent="0.2">
      <c r="A71" s="11"/>
      <c r="B71" s="11"/>
      <c r="C71" s="11"/>
      <c r="D71" s="11"/>
      <c r="E71" s="11"/>
    </row>
  </sheetData>
  <mergeCells count="7">
    <mergeCell ref="A52:E52"/>
    <mergeCell ref="G10:K10"/>
    <mergeCell ref="M10:Q10"/>
    <mergeCell ref="A23:E23"/>
    <mergeCell ref="A38:E38"/>
    <mergeCell ref="A43:E44"/>
    <mergeCell ref="A10:E10"/>
  </mergeCells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F9D5-A5F2-4747-B991-4CFC794E6B8A}">
  <dimension ref="A1:R83"/>
  <sheetViews>
    <sheetView zoomScale="85" zoomScaleNormal="85" workbookViewId="0">
      <selection activeCell="N34" sqref="N34"/>
    </sheetView>
  </sheetViews>
  <sheetFormatPr baseColWidth="10" defaultColWidth="11.42578125" defaultRowHeight="12.75" x14ac:dyDescent="0.2"/>
  <cols>
    <col min="1" max="1" width="45.7109375" customWidth="1"/>
    <col min="3" max="3" width="11.42578125" style="60"/>
    <col min="4" max="4" width="14" bestFit="1" customWidth="1"/>
    <col min="5" max="5" width="18" bestFit="1" customWidth="1"/>
    <col min="6" max="7" width="13" bestFit="1" customWidth="1"/>
    <col min="8" max="8" width="12.85546875" bestFit="1" customWidth="1"/>
    <col min="9" max="9" width="15.7109375" bestFit="1" customWidth="1"/>
    <col min="10" max="12" width="12.28515625" bestFit="1" customWidth="1"/>
    <col min="13" max="13" width="13" bestFit="1" customWidth="1"/>
    <col min="14" max="16" width="12.28515625" bestFit="1" customWidth="1"/>
    <col min="17" max="17" width="14" bestFit="1" customWidth="1"/>
    <col min="18" max="18" width="17.28515625" bestFit="1" customWidth="1"/>
  </cols>
  <sheetData>
    <row r="1" spans="1:18" ht="18" x14ac:dyDescent="0.25">
      <c r="A1" s="39" t="s">
        <v>149</v>
      </c>
      <c r="B1" s="39"/>
    </row>
    <row r="3" spans="1:18" ht="18" x14ac:dyDescent="0.25">
      <c r="A3" s="39" t="s">
        <v>76</v>
      </c>
      <c r="B3" s="39"/>
    </row>
    <row r="5" spans="1:18" ht="15.75" x14ac:dyDescent="0.25">
      <c r="A5" s="2" t="s">
        <v>14</v>
      </c>
      <c r="B5" s="2" t="s">
        <v>165</v>
      </c>
    </row>
    <row r="6" spans="1:18" ht="15.75" x14ac:dyDescent="0.25">
      <c r="A6" s="2" t="s">
        <v>15</v>
      </c>
      <c r="B6" s="2"/>
    </row>
    <row r="7" spans="1:18" ht="15.75" x14ac:dyDescent="0.25">
      <c r="A7" s="2" t="s">
        <v>16</v>
      </c>
      <c r="B7" s="2" t="s">
        <v>166</v>
      </c>
    </row>
    <row r="8" spans="1:18" ht="12.75" customHeight="1" x14ac:dyDescent="0.25">
      <c r="A8" s="647" t="s">
        <v>77</v>
      </c>
      <c r="B8" s="648"/>
      <c r="C8" s="648"/>
      <c r="D8" s="648"/>
      <c r="E8" s="650"/>
      <c r="F8" s="660" t="s">
        <v>78</v>
      </c>
      <c r="G8" s="660"/>
      <c r="H8" s="660"/>
      <c r="I8" s="660"/>
      <c r="J8" s="660"/>
      <c r="K8" s="660"/>
      <c r="L8" s="660"/>
      <c r="M8" s="660"/>
      <c r="N8" s="660"/>
      <c r="O8" s="660"/>
      <c r="P8" s="660"/>
      <c r="Q8" s="661"/>
    </row>
    <row r="9" spans="1:18" ht="15.75" x14ac:dyDescent="0.25">
      <c r="A9" s="544" t="s">
        <v>148</v>
      </c>
      <c r="B9" s="545" t="s">
        <v>24</v>
      </c>
      <c r="C9" s="546" t="s">
        <v>72</v>
      </c>
      <c r="D9" s="545" t="s">
        <v>150</v>
      </c>
      <c r="E9" s="545" t="s">
        <v>151</v>
      </c>
      <c r="F9" s="547">
        <v>1</v>
      </c>
      <c r="G9" s="547">
        <v>2</v>
      </c>
      <c r="H9" s="547">
        <v>3</v>
      </c>
      <c r="I9" s="547">
        <v>4</v>
      </c>
      <c r="J9" s="547">
        <v>5</v>
      </c>
      <c r="K9" s="547">
        <v>6</v>
      </c>
      <c r="L9" s="547">
        <v>7</v>
      </c>
      <c r="M9" s="547">
        <v>8</v>
      </c>
      <c r="N9" s="547">
        <v>9</v>
      </c>
      <c r="O9" s="547">
        <v>10</v>
      </c>
      <c r="P9" s="547">
        <v>11</v>
      </c>
      <c r="Q9" s="548">
        <v>12</v>
      </c>
    </row>
    <row r="10" spans="1:18" ht="15" x14ac:dyDescent="0.2">
      <c r="A10" s="63" t="s">
        <v>152</v>
      </c>
      <c r="B10" s="78" t="s">
        <v>146</v>
      </c>
      <c r="C10" s="133">
        <v>2</v>
      </c>
      <c r="D10" s="131">
        <v>8000</v>
      </c>
      <c r="E10" s="131">
        <f>C10*D10</f>
        <v>16000</v>
      </c>
      <c r="F10" s="131">
        <f t="shared" ref="F10:Q10" si="0">$E$10</f>
        <v>16000</v>
      </c>
      <c r="G10" s="131">
        <f t="shared" si="0"/>
        <v>16000</v>
      </c>
      <c r="H10" s="131">
        <f t="shared" si="0"/>
        <v>16000</v>
      </c>
      <c r="I10" s="131">
        <f t="shared" si="0"/>
        <v>16000</v>
      </c>
      <c r="J10" s="131">
        <f t="shared" si="0"/>
        <v>16000</v>
      </c>
      <c r="K10" s="131">
        <f t="shared" si="0"/>
        <v>16000</v>
      </c>
      <c r="L10" s="131">
        <f t="shared" si="0"/>
        <v>16000</v>
      </c>
      <c r="M10" s="131">
        <f t="shared" si="0"/>
        <v>16000</v>
      </c>
      <c r="N10" s="131">
        <f t="shared" si="0"/>
        <v>16000</v>
      </c>
      <c r="O10" s="131">
        <f t="shared" si="0"/>
        <v>16000</v>
      </c>
      <c r="P10" s="131">
        <f t="shared" si="0"/>
        <v>16000</v>
      </c>
      <c r="Q10" s="131">
        <f t="shared" si="0"/>
        <v>16000</v>
      </c>
      <c r="R10" s="131"/>
    </row>
    <row r="11" spans="1:18" ht="15" x14ac:dyDescent="0.2">
      <c r="A11" s="63" t="s">
        <v>153</v>
      </c>
      <c r="B11" s="78" t="s">
        <v>146</v>
      </c>
      <c r="C11" s="133">
        <v>1</v>
      </c>
      <c r="D11" s="160">
        <v>600</v>
      </c>
      <c r="E11" s="131">
        <v>600</v>
      </c>
      <c r="F11" s="131">
        <v>600</v>
      </c>
      <c r="G11" s="131">
        <v>600</v>
      </c>
      <c r="H11" s="131">
        <v>600</v>
      </c>
      <c r="I11" s="131">
        <v>600</v>
      </c>
      <c r="J11" s="131">
        <v>600</v>
      </c>
      <c r="K11" s="131">
        <v>600</v>
      </c>
      <c r="L11" s="131">
        <v>600</v>
      </c>
      <c r="M11" s="131">
        <v>600</v>
      </c>
      <c r="N11" s="131">
        <v>600</v>
      </c>
      <c r="O11" s="131">
        <v>600</v>
      </c>
      <c r="P11" s="131">
        <v>600</v>
      </c>
      <c r="Q11" s="131">
        <v>600</v>
      </c>
    </row>
    <row r="12" spans="1:18" ht="15" x14ac:dyDescent="0.2">
      <c r="A12" s="63" t="s">
        <v>154</v>
      </c>
      <c r="B12" s="78" t="s">
        <v>146</v>
      </c>
      <c r="C12" s="133">
        <v>1</v>
      </c>
      <c r="D12" s="160">
        <v>400</v>
      </c>
      <c r="E12" s="131">
        <v>400</v>
      </c>
      <c r="F12" s="131">
        <v>400</v>
      </c>
      <c r="G12" s="131">
        <v>400</v>
      </c>
      <c r="H12" s="131">
        <v>400</v>
      </c>
      <c r="I12" s="131">
        <v>400</v>
      </c>
      <c r="J12" s="131">
        <v>400</v>
      </c>
      <c r="K12" s="131">
        <v>400</v>
      </c>
      <c r="L12" s="131">
        <v>400</v>
      </c>
      <c r="M12" s="131">
        <v>400</v>
      </c>
      <c r="N12" s="131">
        <v>400</v>
      </c>
      <c r="O12" s="131">
        <v>400</v>
      </c>
      <c r="P12" s="131">
        <v>400</v>
      </c>
      <c r="Q12" s="131">
        <v>400</v>
      </c>
    </row>
    <row r="13" spans="1:18" ht="15" x14ac:dyDescent="0.2">
      <c r="A13" s="63" t="s">
        <v>155</v>
      </c>
      <c r="B13" s="78" t="s">
        <v>146</v>
      </c>
      <c r="C13" s="133">
        <v>1</v>
      </c>
      <c r="D13" s="160">
        <v>500</v>
      </c>
      <c r="E13" s="131">
        <v>500</v>
      </c>
      <c r="F13" s="131">
        <v>500</v>
      </c>
      <c r="G13" s="131">
        <v>500</v>
      </c>
      <c r="H13" s="131">
        <v>500</v>
      </c>
      <c r="I13" s="131">
        <v>500</v>
      </c>
      <c r="J13" s="131">
        <v>500</v>
      </c>
      <c r="K13" s="131">
        <v>500</v>
      </c>
      <c r="L13" s="131">
        <v>500</v>
      </c>
      <c r="M13" s="131">
        <v>500</v>
      </c>
      <c r="N13" s="131">
        <v>500</v>
      </c>
      <c r="O13" s="131">
        <v>500</v>
      </c>
      <c r="P13" s="131">
        <v>500</v>
      </c>
      <c r="Q13" s="131">
        <v>500</v>
      </c>
    </row>
    <row r="14" spans="1:18" ht="15" x14ac:dyDescent="0.2">
      <c r="A14" s="63" t="s">
        <v>156</v>
      </c>
      <c r="B14" s="78" t="s">
        <v>146</v>
      </c>
      <c r="C14" s="133">
        <v>1</v>
      </c>
      <c r="D14" s="160">
        <v>1500</v>
      </c>
      <c r="E14" s="131">
        <v>1500</v>
      </c>
      <c r="F14" s="131">
        <v>1500</v>
      </c>
      <c r="G14" s="131">
        <v>1500</v>
      </c>
      <c r="H14" s="131">
        <v>1500</v>
      </c>
      <c r="I14" s="131">
        <v>1500</v>
      </c>
      <c r="J14" s="131">
        <v>1500</v>
      </c>
      <c r="K14" s="131">
        <v>1500</v>
      </c>
      <c r="L14" s="131">
        <v>1500</v>
      </c>
      <c r="M14" s="131">
        <v>1500</v>
      </c>
      <c r="N14" s="131">
        <v>1500</v>
      </c>
      <c r="O14" s="131">
        <v>1500</v>
      </c>
      <c r="P14" s="131">
        <v>1500</v>
      </c>
      <c r="Q14" s="131">
        <v>1500</v>
      </c>
    </row>
    <row r="15" spans="1:18" ht="15.75" x14ac:dyDescent="0.25">
      <c r="A15" s="80" t="s">
        <v>31</v>
      </c>
      <c r="B15" s="128" t="s">
        <v>148</v>
      </c>
      <c r="C15" s="133" t="s">
        <v>148</v>
      </c>
      <c r="E15" s="131">
        <f t="shared" ref="E15:Q15" si="1">SUM(E10:E14)</f>
        <v>19000</v>
      </c>
      <c r="F15" s="131">
        <f t="shared" si="1"/>
        <v>19000</v>
      </c>
      <c r="G15" s="131">
        <f t="shared" si="1"/>
        <v>19000</v>
      </c>
      <c r="H15" s="131">
        <f t="shared" si="1"/>
        <v>19000</v>
      </c>
      <c r="I15" s="131">
        <f t="shared" si="1"/>
        <v>19000</v>
      </c>
      <c r="J15" s="131">
        <f t="shared" si="1"/>
        <v>19000</v>
      </c>
      <c r="K15" s="131">
        <f t="shared" si="1"/>
        <v>19000</v>
      </c>
      <c r="L15" s="131">
        <f t="shared" si="1"/>
        <v>19000</v>
      </c>
      <c r="M15" s="131">
        <f t="shared" si="1"/>
        <v>19000</v>
      </c>
      <c r="N15" s="131">
        <f t="shared" si="1"/>
        <v>19000</v>
      </c>
      <c r="O15" s="131">
        <f t="shared" si="1"/>
        <v>19000</v>
      </c>
      <c r="P15" s="131">
        <f t="shared" si="1"/>
        <v>19000</v>
      </c>
      <c r="Q15" s="131">
        <f t="shared" si="1"/>
        <v>19000</v>
      </c>
      <c r="R15" s="143">
        <f>SUM(F15:Q15)</f>
        <v>228000</v>
      </c>
    </row>
    <row r="16" spans="1:18" ht="15.75" x14ac:dyDescent="0.25">
      <c r="A16" s="2"/>
      <c r="B16" s="11"/>
      <c r="C16" s="82"/>
      <c r="D16" s="11"/>
      <c r="E16" s="2"/>
      <c r="F16" s="11"/>
      <c r="G16" s="132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8" ht="15.75" x14ac:dyDescent="0.25">
      <c r="A17" s="2"/>
      <c r="B17" s="11"/>
      <c r="C17" s="82"/>
      <c r="D17" s="11"/>
      <c r="E17" s="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8" ht="12.75" customHeight="1" x14ac:dyDescent="0.25">
      <c r="A18" s="662" t="s">
        <v>79</v>
      </c>
      <c r="B18" s="663"/>
      <c r="C18" s="663"/>
      <c r="D18" s="663"/>
      <c r="E18" s="664"/>
      <c r="F18" s="660" t="s">
        <v>78</v>
      </c>
      <c r="G18" s="660"/>
      <c r="H18" s="660"/>
      <c r="I18" s="660"/>
      <c r="J18" s="660"/>
      <c r="K18" s="660"/>
      <c r="L18" s="660"/>
      <c r="M18" s="660"/>
      <c r="N18" s="660"/>
      <c r="O18" s="660"/>
      <c r="P18" s="660"/>
      <c r="Q18" s="661"/>
    </row>
    <row r="19" spans="1:18" ht="15.75" x14ac:dyDescent="0.25">
      <c r="A19" s="544" t="s">
        <v>148</v>
      </c>
      <c r="B19" s="545" t="s">
        <v>148</v>
      </c>
      <c r="C19" s="546" t="s">
        <v>148</v>
      </c>
      <c r="D19" s="545" t="s">
        <v>148</v>
      </c>
      <c r="E19" s="545" t="s">
        <v>148</v>
      </c>
      <c r="F19" s="547">
        <v>1</v>
      </c>
      <c r="G19" s="547">
        <v>2</v>
      </c>
      <c r="H19" s="547">
        <v>3</v>
      </c>
      <c r="I19" s="547">
        <v>4</v>
      </c>
      <c r="J19" s="547">
        <v>5</v>
      </c>
      <c r="K19" s="547">
        <v>6</v>
      </c>
      <c r="L19" s="547">
        <v>7</v>
      </c>
      <c r="M19" s="547">
        <v>8</v>
      </c>
      <c r="N19" s="547">
        <v>9</v>
      </c>
      <c r="O19" s="547">
        <v>10</v>
      </c>
      <c r="P19" s="547">
        <v>11</v>
      </c>
      <c r="Q19" s="548">
        <v>12</v>
      </c>
    </row>
    <row r="20" spans="1:18" ht="15" x14ac:dyDescent="0.2">
      <c r="A20" s="63" t="s">
        <v>167</v>
      </c>
      <c r="B20" s="78" t="s">
        <v>146</v>
      </c>
      <c r="C20" s="133">
        <v>1</v>
      </c>
      <c r="D20" s="131">
        <v>700</v>
      </c>
      <c r="E20" s="131">
        <v>700</v>
      </c>
      <c r="F20" s="131">
        <v>700</v>
      </c>
      <c r="G20" s="131">
        <v>700</v>
      </c>
      <c r="H20" s="131">
        <v>700</v>
      </c>
      <c r="I20" s="131">
        <v>700</v>
      </c>
      <c r="J20" s="131">
        <v>700</v>
      </c>
      <c r="K20" s="131">
        <v>700</v>
      </c>
      <c r="L20" s="131">
        <v>700</v>
      </c>
      <c r="M20" s="131">
        <v>700</v>
      </c>
      <c r="N20" s="131">
        <v>700</v>
      </c>
      <c r="O20" s="131">
        <v>700</v>
      </c>
      <c r="P20" s="131">
        <v>700</v>
      </c>
      <c r="Q20" s="131">
        <v>700</v>
      </c>
    </row>
    <row r="21" spans="1:18" ht="15" x14ac:dyDescent="0.2">
      <c r="A21" s="78" t="s">
        <v>157</v>
      </c>
      <c r="B21" s="128" t="s">
        <v>146</v>
      </c>
      <c r="C21" s="133">
        <v>1</v>
      </c>
      <c r="D21" s="131">
        <v>400</v>
      </c>
      <c r="E21" s="131">
        <v>400</v>
      </c>
      <c r="F21" s="131">
        <v>400</v>
      </c>
      <c r="G21" s="131">
        <v>400</v>
      </c>
      <c r="H21" s="131">
        <v>400</v>
      </c>
      <c r="I21" s="131">
        <v>400</v>
      </c>
      <c r="J21" s="131">
        <v>400</v>
      </c>
      <c r="K21" s="131">
        <v>400</v>
      </c>
      <c r="L21" s="131">
        <v>400</v>
      </c>
      <c r="M21" s="131">
        <v>400</v>
      </c>
      <c r="N21" s="131">
        <v>400</v>
      </c>
      <c r="O21" s="131">
        <v>400</v>
      </c>
      <c r="P21" s="131">
        <v>400</v>
      </c>
      <c r="Q21" s="131">
        <v>400</v>
      </c>
    </row>
    <row r="22" spans="1:18" ht="15" x14ac:dyDescent="0.2">
      <c r="A22" s="78" t="s">
        <v>158</v>
      </c>
      <c r="B22" s="128" t="s">
        <v>146</v>
      </c>
      <c r="C22" s="133">
        <v>1</v>
      </c>
      <c r="D22" s="131">
        <v>1200</v>
      </c>
      <c r="E22" s="131">
        <v>1200</v>
      </c>
      <c r="F22" s="131">
        <v>1200</v>
      </c>
      <c r="G22" s="131">
        <v>1200</v>
      </c>
      <c r="H22" s="131">
        <v>1200</v>
      </c>
      <c r="I22" s="131">
        <v>1200</v>
      </c>
      <c r="J22" s="131">
        <v>1200</v>
      </c>
      <c r="K22" s="131">
        <v>1200</v>
      </c>
      <c r="L22" s="131">
        <v>1200</v>
      </c>
      <c r="M22" s="131">
        <v>1200</v>
      </c>
      <c r="N22" s="131">
        <v>1200</v>
      </c>
      <c r="O22" s="131">
        <v>1200</v>
      </c>
      <c r="P22" s="131">
        <v>1200</v>
      </c>
      <c r="Q22" s="131">
        <v>1200</v>
      </c>
    </row>
    <row r="23" spans="1:18" ht="15" x14ac:dyDescent="0.2">
      <c r="A23" s="78" t="s">
        <v>159</v>
      </c>
      <c r="B23" s="128" t="s">
        <v>146</v>
      </c>
      <c r="C23" s="133">
        <v>1</v>
      </c>
      <c r="D23" s="131">
        <v>300</v>
      </c>
      <c r="E23" s="131">
        <v>300</v>
      </c>
      <c r="F23" s="131">
        <v>300</v>
      </c>
      <c r="G23" s="131">
        <v>300</v>
      </c>
      <c r="H23" s="131">
        <v>300</v>
      </c>
      <c r="I23" s="131">
        <v>300</v>
      </c>
      <c r="J23" s="131">
        <v>300</v>
      </c>
      <c r="K23" s="131">
        <v>300</v>
      </c>
      <c r="L23" s="131">
        <v>300</v>
      </c>
      <c r="M23" s="131">
        <v>300</v>
      </c>
      <c r="N23" s="131">
        <v>300</v>
      </c>
      <c r="O23" s="131">
        <v>300</v>
      </c>
      <c r="P23" s="131">
        <v>300</v>
      </c>
      <c r="Q23" s="131">
        <v>300</v>
      </c>
    </row>
    <row r="24" spans="1:18" ht="15" x14ac:dyDescent="0.2">
      <c r="A24" s="78" t="s">
        <v>168</v>
      </c>
      <c r="B24" s="128" t="s">
        <v>146</v>
      </c>
      <c r="C24" s="133">
        <v>16</v>
      </c>
      <c r="D24" s="131">
        <v>8000</v>
      </c>
      <c r="E24" s="131">
        <f>D24*C24</f>
        <v>128000</v>
      </c>
      <c r="F24" s="131">
        <f t="shared" ref="F24:Q24" si="2">$E$24</f>
        <v>128000</v>
      </c>
      <c r="G24" s="131">
        <f t="shared" si="2"/>
        <v>128000</v>
      </c>
      <c r="H24" s="131">
        <f t="shared" si="2"/>
        <v>128000</v>
      </c>
      <c r="I24" s="131">
        <f t="shared" si="2"/>
        <v>128000</v>
      </c>
      <c r="J24" s="131">
        <f t="shared" si="2"/>
        <v>128000</v>
      </c>
      <c r="K24" s="131">
        <f t="shared" si="2"/>
        <v>128000</v>
      </c>
      <c r="L24" s="131">
        <f t="shared" si="2"/>
        <v>128000</v>
      </c>
      <c r="M24" s="131">
        <f t="shared" si="2"/>
        <v>128000</v>
      </c>
      <c r="N24" s="131">
        <f t="shared" si="2"/>
        <v>128000</v>
      </c>
      <c r="O24" s="131">
        <f t="shared" si="2"/>
        <v>128000</v>
      </c>
      <c r="P24" s="131">
        <f t="shared" si="2"/>
        <v>128000</v>
      </c>
      <c r="Q24" s="131">
        <f t="shared" si="2"/>
        <v>128000</v>
      </c>
    </row>
    <row r="25" spans="1:18" ht="15.75" x14ac:dyDescent="0.25">
      <c r="A25" s="80" t="s">
        <v>31</v>
      </c>
      <c r="B25" s="128" t="s">
        <v>148</v>
      </c>
      <c r="C25" s="133" t="s">
        <v>148</v>
      </c>
      <c r="D25" s="131"/>
      <c r="E25" s="131">
        <f>SUM(E20:E23)</f>
        <v>2600</v>
      </c>
      <c r="F25" s="131">
        <f t="shared" ref="F25:Q25" si="3">SUM(F20:F23)</f>
        <v>2600</v>
      </c>
      <c r="G25" s="131">
        <f t="shared" si="3"/>
        <v>2600</v>
      </c>
      <c r="H25" s="131">
        <f t="shared" si="3"/>
        <v>2600</v>
      </c>
      <c r="I25" s="131">
        <f t="shared" si="3"/>
        <v>2600</v>
      </c>
      <c r="J25" s="131">
        <f t="shared" si="3"/>
        <v>2600</v>
      </c>
      <c r="K25" s="131">
        <f t="shared" si="3"/>
        <v>2600</v>
      </c>
      <c r="L25" s="131">
        <f t="shared" si="3"/>
        <v>2600</v>
      </c>
      <c r="M25" s="131">
        <f t="shared" si="3"/>
        <v>2600</v>
      </c>
      <c r="N25" s="131">
        <f t="shared" si="3"/>
        <v>2600</v>
      </c>
      <c r="O25" s="131">
        <f t="shared" si="3"/>
        <v>2600</v>
      </c>
      <c r="P25" s="131">
        <f t="shared" si="3"/>
        <v>2600</v>
      </c>
      <c r="Q25" s="131">
        <f t="shared" si="3"/>
        <v>2600</v>
      </c>
      <c r="R25" s="143">
        <f>SUM(F25:Q25)</f>
        <v>31200</v>
      </c>
    </row>
    <row r="26" spans="1:18" ht="15" x14ac:dyDescent="0.2">
      <c r="A26" s="11"/>
      <c r="B26" s="11"/>
      <c r="C26" s="8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8" ht="15" x14ac:dyDescent="0.2">
      <c r="A27" s="11"/>
      <c r="B27" s="11"/>
      <c r="C27" s="8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8" ht="12.75" customHeight="1" x14ac:dyDescent="0.25">
      <c r="A28" s="647" t="s">
        <v>80</v>
      </c>
      <c r="B28" s="648"/>
      <c r="C28" s="648"/>
      <c r="D28" s="648"/>
      <c r="E28" s="650"/>
      <c r="F28" s="660" t="s">
        <v>78</v>
      </c>
      <c r="G28" s="660"/>
      <c r="H28" s="660"/>
      <c r="I28" s="660"/>
      <c r="J28" s="660"/>
      <c r="K28" s="660"/>
      <c r="L28" s="660"/>
      <c r="M28" s="660"/>
      <c r="N28" s="660"/>
      <c r="O28" s="660"/>
      <c r="P28" s="660"/>
      <c r="Q28" s="661"/>
    </row>
    <row r="29" spans="1:18" ht="15.75" x14ac:dyDescent="0.25">
      <c r="A29" s="553" t="s">
        <v>148</v>
      </c>
      <c r="B29" s="544" t="s">
        <v>148</v>
      </c>
      <c r="C29" s="546" t="s">
        <v>148</v>
      </c>
      <c r="D29" s="546" t="s">
        <v>73</v>
      </c>
      <c r="E29" s="546" t="s">
        <v>26</v>
      </c>
      <c r="F29" s="554">
        <v>1</v>
      </c>
      <c r="G29" s="554">
        <v>2</v>
      </c>
      <c r="H29" s="554">
        <v>3</v>
      </c>
      <c r="I29" s="554">
        <v>4</v>
      </c>
      <c r="J29" s="554">
        <v>5</v>
      </c>
      <c r="K29" s="554">
        <v>6</v>
      </c>
      <c r="L29" s="554">
        <v>7</v>
      </c>
      <c r="M29" s="554">
        <v>8</v>
      </c>
      <c r="N29" s="554">
        <v>9</v>
      </c>
      <c r="O29" s="554">
        <v>10</v>
      </c>
      <c r="P29" s="554">
        <v>11</v>
      </c>
      <c r="Q29" s="555">
        <v>12</v>
      </c>
    </row>
    <row r="30" spans="1:18" ht="15.75" x14ac:dyDescent="0.25">
      <c r="A30" s="51" t="s">
        <v>171</v>
      </c>
      <c r="B30" s="128"/>
      <c r="C30" s="133"/>
      <c r="D30" s="11"/>
      <c r="E30" s="11"/>
    </row>
    <row r="31" spans="1:18" ht="15" x14ac:dyDescent="0.2">
      <c r="A31" s="63" t="s">
        <v>172</v>
      </c>
      <c r="B31" s="128"/>
      <c r="C31" s="133">
        <v>3</v>
      </c>
      <c r="D31" s="131">
        <f>1691.61*4</f>
        <v>6766.44</v>
      </c>
      <c r="E31" s="131">
        <f>D31*C31</f>
        <v>20299.32</v>
      </c>
      <c r="F31" s="131">
        <f t="shared" ref="F31:Q31" si="4">$C$31*$D$31</f>
        <v>20299.32</v>
      </c>
      <c r="G31" s="131">
        <f t="shared" si="4"/>
        <v>20299.32</v>
      </c>
      <c r="H31" s="131">
        <f t="shared" si="4"/>
        <v>20299.32</v>
      </c>
      <c r="I31" s="131">
        <f t="shared" si="4"/>
        <v>20299.32</v>
      </c>
      <c r="J31" s="131">
        <f t="shared" si="4"/>
        <v>20299.32</v>
      </c>
      <c r="K31" s="131">
        <f t="shared" si="4"/>
        <v>20299.32</v>
      </c>
      <c r="L31" s="131">
        <f t="shared" si="4"/>
        <v>20299.32</v>
      </c>
      <c r="M31" s="131">
        <f t="shared" si="4"/>
        <v>20299.32</v>
      </c>
      <c r="N31" s="131">
        <f t="shared" si="4"/>
        <v>20299.32</v>
      </c>
      <c r="O31" s="131">
        <f t="shared" si="4"/>
        <v>20299.32</v>
      </c>
      <c r="P31" s="131">
        <f t="shared" si="4"/>
        <v>20299.32</v>
      </c>
      <c r="Q31" s="131">
        <f t="shared" si="4"/>
        <v>20299.32</v>
      </c>
    </row>
    <row r="32" spans="1:18" ht="15" x14ac:dyDescent="0.2">
      <c r="A32" s="63" t="s">
        <v>255</v>
      </c>
      <c r="B32" s="128"/>
      <c r="C32" s="133">
        <v>1</v>
      </c>
      <c r="D32" s="131">
        <f>1587.08*4</f>
        <v>6348.32</v>
      </c>
      <c r="E32" s="131">
        <f t="shared" ref="E32:Q32" si="5">$C$32*$D$32</f>
        <v>6348.32</v>
      </c>
      <c r="F32" s="131">
        <f t="shared" si="5"/>
        <v>6348.32</v>
      </c>
      <c r="G32" s="131">
        <f t="shared" si="5"/>
        <v>6348.32</v>
      </c>
      <c r="H32" s="131">
        <f t="shared" si="5"/>
        <v>6348.32</v>
      </c>
      <c r="I32" s="131">
        <f t="shared" si="5"/>
        <v>6348.32</v>
      </c>
      <c r="J32" s="131">
        <f t="shared" si="5"/>
        <v>6348.32</v>
      </c>
      <c r="K32" s="131">
        <f t="shared" si="5"/>
        <v>6348.32</v>
      </c>
      <c r="L32" s="131">
        <f t="shared" si="5"/>
        <v>6348.32</v>
      </c>
      <c r="M32" s="131">
        <f t="shared" si="5"/>
        <v>6348.32</v>
      </c>
      <c r="N32" s="131">
        <f t="shared" si="5"/>
        <v>6348.32</v>
      </c>
      <c r="O32" s="131">
        <f t="shared" si="5"/>
        <v>6348.32</v>
      </c>
      <c r="P32" s="131">
        <f t="shared" si="5"/>
        <v>6348.32</v>
      </c>
      <c r="Q32" s="131">
        <f t="shared" si="5"/>
        <v>6348.32</v>
      </c>
    </row>
    <row r="33" spans="1:17" ht="15" x14ac:dyDescent="0.2">
      <c r="A33" s="63" t="s">
        <v>176</v>
      </c>
      <c r="B33" s="128"/>
      <c r="C33" s="133">
        <v>1</v>
      </c>
      <c r="D33" s="131">
        <f>1587.08*4</f>
        <v>6348.32</v>
      </c>
      <c r="E33" s="131">
        <f t="shared" ref="E33:Q33" si="6">$C$33*$D$33</f>
        <v>6348.32</v>
      </c>
      <c r="F33" s="131">
        <f t="shared" si="6"/>
        <v>6348.32</v>
      </c>
      <c r="G33" s="131">
        <f t="shared" si="6"/>
        <v>6348.32</v>
      </c>
      <c r="H33" s="131">
        <f t="shared" si="6"/>
        <v>6348.32</v>
      </c>
      <c r="I33" s="131">
        <f t="shared" si="6"/>
        <v>6348.32</v>
      </c>
      <c r="J33" s="131">
        <f t="shared" si="6"/>
        <v>6348.32</v>
      </c>
      <c r="K33" s="131">
        <f t="shared" si="6"/>
        <v>6348.32</v>
      </c>
      <c r="L33" s="131">
        <f t="shared" si="6"/>
        <v>6348.32</v>
      </c>
      <c r="M33" s="131">
        <f t="shared" si="6"/>
        <v>6348.32</v>
      </c>
      <c r="N33" s="131">
        <f t="shared" si="6"/>
        <v>6348.32</v>
      </c>
      <c r="O33" s="131">
        <f t="shared" si="6"/>
        <v>6348.32</v>
      </c>
      <c r="P33" s="131">
        <f t="shared" si="6"/>
        <v>6348.32</v>
      </c>
      <c r="Q33" s="131">
        <f t="shared" si="6"/>
        <v>6348.32</v>
      </c>
    </row>
    <row r="34" spans="1:17" ht="15" x14ac:dyDescent="0.2">
      <c r="A34" s="63" t="s">
        <v>256</v>
      </c>
      <c r="B34" s="128"/>
      <c r="C34" s="133">
        <v>1</v>
      </c>
      <c r="D34" s="131">
        <f>2776.69*4</f>
        <v>11106.76</v>
      </c>
      <c r="E34" s="131">
        <f t="shared" ref="E34:Q34" si="7">$C$34*$D$34</f>
        <v>11106.76</v>
      </c>
      <c r="F34" s="131">
        <f t="shared" si="7"/>
        <v>11106.76</v>
      </c>
      <c r="G34" s="131">
        <f t="shared" si="7"/>
        <v>11106.76</v>
      </c>
      <c r="H34" s="131">
        <f t="shared" si="7"/>
        <v>11106.76</v>
      </c>
      <c r="I34" s="131">
        <f t="shared" si="7"/>
        <v>11106.76</v>
      </c>
      <c r="J34" s="131">
        <f t="shared" si="7"/>
        <v>11106.76</v>
      </c>
      <c r="K34" s="131">
        <f t="shared" si="7"/>
        <v>11106.76</v>
      </c>
      <c r="L34" s="131">
        <f t="shared" si="7"/>
        <v>11106.76</v>
      </c>
      <c r="M34" s="131">
        <f t="shared" si="7"/>
        <v>11106.76</v>
      </c>
      <c r="N34" s="131">
        <f t="shared" si="7"/>
        <v>11106.76</v>
      </c>
      <c r="O34" s="131">
        <f t="shared" si="7"/>
        <v>11106.76</v>
      </c>
      <c r="P34" s="131">
        <f t="shared" si="7"/>
        <v>11106.76</v>
      </c>
      <c r="Q34" s="131">
        <f t="shared" si="7"/>
        <v>11106.76</v>
      </c>
    </row>
    <row r="35" spans="1:17" ht="15" x14ac:dyDescent="0.2">
      <c r="A35" s="63" t="s">
        <v>257</v>
      </c>
      <c r="B35" s="128"/>
      <c r="C35" s="133">
        <v>1</v>
      </c>
      <c r="D35" s="131">
        <f>2223.75*4</f>
        <v>8895</v>
      </c>
      <c r="E35" s="131">
        <f t="shared" ref="E35:Q35" si="8">$C$35*$D$35</f>
        <v>8895</v>
      </c>
      <c r="F35" s="131">
        <f t="shared" si="8"/>
        <v>8895</v>
      </c>
      <c r="G35" s="131">
        <f t="shared" si="8"/>
        <v>8895</v>
      </c>
      <c r="H35" s="131">
        <f t="shared" si="8"/>
        <v>8895</v>
      </c>
      <c r="I35" s="131">
        <f t="shared" si="8"/>
        <v>8895</v>
      </c>
      <c r="J35" s="131">
        <f t="shared" si="8"/>
        <v>8895</v>
      </c>
      <c r="K35" s="131">
        <f t="shared" si="8"/>
        <v>8895</v>
      </c>
      <c r="L35" s="131">
        <f t="shared" si="8"/>
        <v>8895</v>
      </c>
      <c r="M35" s="131">
        <f t="shared" si="8"/>
        <v>8895</v>
      </c>
      <c r="N35" s="131">
        <f t="shared" si="8"/>
        <v>8895</v>
      </c>
      <c r="O35" s="131">
        <f t="shared" si="8"/>
        <v>8895</v>
      </c>
      <c r="P35" s="131">
        <f t="shared" si="8"/>
        <v>8895</v>
      </c>
      <c r="Q35" s="131">
        <f t="shared" si="8"/>
        <v>8895</v>
      </c>
    </row>
    <row r="36" spans="1:17" ht="15" x14ac:dyDescent="0.2">
      <c r="A36" s="63" t="s">
        <v>271</v>
      </c>
      <c r="B36" s="128"/>
      <c r="C36" s="133">
        <v>1</v>
      </c>
      <c r="D36" s="131">
        <f>1965.59*4</f>
        <v>7862.36</v>
      </c>
      <c r="E36" s="131">
        <f t="shared" ref="E36:Q36" si="9">$C$36*$D$36</f>
        <v>7862.36</v>
      </c>
      <c r="F36" s="131">
        <f t="shared" si="9"/>
        <v>7862.36</v>
      </c>
      <c r="G36" s="131">
        <f t="shared" si="9"/>
        <v>7862.36</v>
      </c>
      <c r="H36" s="131">
        <f t="shared" si="9"/>
        <v>7862.36</v>
      </c>
      <c r="I36" s="131">
        <f t="shared" si="9"/>
        <v>7862.36</v>
      </c>
      <c r="J36" s="131">
        <f t="shared" si="9"/>
        <v>7862.36</v>
      </c>
      <c r="K36" s="131">
        <f t="shared" si="9"/>
        <v>7862.36</v>
      </c>
      <c r="L36" s="131">
        <f t="shared" si="9"/>
        <v>7862.36</v>
      </c>
      <c r="M36" s="131">
        <f t="shared" si="9"/>
        <v>7862.36</v>
      </c>
      <c r="N36" s="131">
        <f t="shared" si="9"/>
        <v>7862.36</v>
      </c>
      <c r="O36" s="131">
        <f t="shared" si="9"/>
        <v>7862.36</v>
      </c>
      <c r="P36" s="131">
        <f t="shared" si="9"/>
        <v>7862.36</v>
      </c>
      <c r="Q36" s="131">
        <f t="shared" si="9"/>
        <v>7862.36</v>
      </c>
    </row>
    <row r="37" spans="1:17" ht="15" x14ac:dyDescent="0.2">
      <c r="A37" s="63" t="s">
        <v>180</v>
      </c>
      <c r="B37" s="128"/>
      <c r="C37" s="133">
        <v>1</v>
      </c>
      <c r="D37" s="131">
        <f>2223.75*4</f>
        <v>8895</v>
      </c>
      <c r="E37" s="131">
        <f t="shared" ref="E37:Q37" si="10">$C$37*$D$37</f>
        <v>8895</v>
      </c>
      <c r="F37" s="131">
        <f t="shared" si="10"/>
        <v>8895</v>
      </c>
      <c r="G37" s="131">
        <f t="shared" si="10"/>
        <v>8895</v>
      </c>
      <c r="H37" s="131">
        <f t="shared" si="10"/>
        <v>8895</v>
      </c>
      <c r="I37" s="131">
        <f t="shared" si="10"/>
        <v>8895</v>
      </c>
      <c r="J37" s="131">
        <f t="shared" si="10"/>
        <v>8895</v>
      </c>
      <c r="K37" s="131">
        <f t="shared" si="10"/>
        <v>8895</v>
      </c>
      <c r="L37" s="131">
        <f t="shared" si="10"/>
        <v>8895</v>
      </c>
      <c r="M37" s="131">
        <f t="shared" si="10"/>
        <v>8895</v>
      </c>
      <c r="N37" s="131">
        <f t="shared" si="10"/>
        <v>8895</v>
      </c>
      <c r="O37" s="131">
        <f t="shared" si="10"/>
        <v>8895</v>
      </c>
      <c r="P37" s="131">
        <f t="shared" si="10"/>
        <v>8895</v>
      </c>
      <c r="Q37" s="131">
        <f t="shared" si="10"/>
        <v>8895</v>
      </c>
    </row>
    <row r="38" spans="1:17" ht="15" x14ac:dyDescent="0.2">
      <c r="A38" s="63" t="s">
        <v>185</v>
      </c>
      <c r="B38" s="128"/>
      <c r="C38" s="133">
        <v>1</v>
      </c>
      <c r="D38" s="131">
        <f>1587.08*4</f>
        <v>6348.32</v>
      </c>
      <c r="E38" s="131">
        <f t="shared" ref="E38:Q38" si="11">$C$38*$D$38</f>
        <v>6348.32</v>
      </c>
      <c r="F38" s="131">
        <f t="shared" si="11"/>
        <v>6348.32</v>
      </c>
      <c r="G38" s="131">
        <f t="shared" si="11"/>
        <v>6348.32</v>
      </c>
      <c r="H38" s="131">
        <f t="shared" si="11"/>
        <v>6348.32</v>
      </c>
      <c r="I38" s="131">
        <f t="shared" si="11"/>
        <v>6348.32</v>
      </c>
      <c r="J38" s="131">
        <f t="shared" si="11"/>
        <v>6348.32</v>
      </c>
      <c r="K38" s="131">
        <f t="shared" si="11"/>
        <v>6348.32</v>
      </c>
      <c r="L38" s="131">
        <f t="shared" si="11"/>
        <v>6348.32</v>
      </c>
      <c r="M38" s="131">
        <f t="shared" si="11"/>
        <v>6348.32</v>
      </c>
      <c r="N38" s="131">
        <f t="shared" si="11"/>
        <v>6348.32</v>
      </c>
      <c r="O38" s="131">
        <f t="shared" si="11"/>
        <v>6348.32</v>
      </c>
      <c r="P38" s="131">
        <f t="shared" si="11"/>
        <v>6348.32</v>
      </c>
      <c r="Q38" s="131">
        <f t="shared" si="11"/>
        <v>6348.32</v>
      </c>
    </row>
    <row r="39" spans="1:17" ht="15.75" x14ac:dyDescent="0.25">
      <c r="A39" s="51" t="s">
        <v>181</v>
      </c>
      <c r="B39" s="128"/>
      <c r="C39" s="133"/>
      <c r="D39" s="131"/>
      <c r="E39" s="131"/>
    </row>
    <row r="40" spans="1:17" ht="15" x14ac:dyDescent="0.2">
      <c r="A40" s="63" t="s">
        <v>258</v>
      </c>
      <c r="B40" s="128"/>
      <c r="C40" s="133">
        <v>1</v>
      </c>
      <c r="D40" s="131">
        <f>4315.99*4</f>
        <v>17263.96</v>
      </c>
      <c r="E40" s="131">
        <f t="shared" ref="E40:Q40" si="12">$C$40*$D$40</f>
        <v>17263.96</v>
      </c>
      <c r="F40" s="131">
        <f t="shared" si="12"/>
        <v>17263.96</v>
      </c>
      <c r="G40" s="131">
        <f t="shared" si="12"/>
        <v>17263.96</v>
      </c>
      <c r="H40" s="131">
        <f t="shared" si="12"/>
        <v>17263.96</v>
      </c>
      <c r="I40" s="131">
        <f t="shared" si="12"/>
        <v>17263.96</v>
      </c>
      <c r="J40" s="131">
        <f t="shared" si="12"/>
        <v>17263.96</v>
      </c>
      <c r="K40" s="131">
        <f t="shared" si="12"/>
        <v>17263.96</v>
      </c>
      <c r="L40" s="131">
        <f t="shared" si="12"/>
        <v>17263.96</v>
      </c>
      <c r="M40" s="131">
        <f t="shared" si="12"/>
        <v>17263.96</v>
      </c>
      <c r="N40" s="131">
        <f t="shared" si="12"/>
        <v>17263.96</v>
      </c>
      <c r="O40" s="131">
        <f t="shared" si="12"/>
        <v>17263.96</v>
      </c>
      <c r="P40" s="131">
        <f t="shared" si="12"/>
        <v>17263.96</v>
      </c>
      <c r="Q40" s="131">
        <f t="shared" si="12"/>
        <v>17263.96</v>
      </c>
    </row>
    <row r="41" spans="1:17" ht="15" x14ac:dyDescent="0.2">
      <c r="A41" s="63" t="s">
        <v>259</v>
      </c>
      <c r="B41" s="128"/>
      <c r="C41" s="133">
        <v>1</v>
      </c>
      <c r="D41" s="131">
        <f>4301.08*4</f>
        <v>17204.32</v>
      </c>
      <c r="E41" s="131">
        <f t="shared" ref="E41:Q41" si="13">$C$41*$D$41</f>
        <v>17204.32</v>
      </c>
      <c r="F41" s="131">
        <f t="shared" si="13"/>
        <v>17204.32</v>
      </c>
      <c r="G41" s="131">
        <f t="shared" si="13"/>
        <v>17204.32</v>
      </c>
      <c r="H41" s="131">
        <f t="shared" si="13"/>
        <v>17204.32</v>
      </c>
      <c r="I41" s="131">
        <f t="shared" si="13"/>
        <v>17204.32</v>
      </c>
      <c r="J41" s="131">
        <f t="shared" si="13"/>
        <v>17204.32</v>
      </c>
      <c r="K41" s="131">
        <f t="shared" si="13"/>
        <v>17204.32</v>
      </c>
      <c r="L41" s="131">
        <f t="shared" si="13"/>
        <v>17204.32</v>
      </c>
      <c r="M41" s="131">
        <f t="shared" si="13"/>
        <v>17204.32</v>
      </c>
      <c r="N41" s="131">
        <f t="shared" si="13"/>
        <v>17204.32</v>
      </c>
      <c r="O41" s="131">
        <f t="shared" si="13"/>
        <v>17204.32</v>
      </c>
      <c r="P41" s="131">
        <f t="shared" si="13"/>
        <v>17204.32</v>
      </c>
      <c r="Q41" s="131">
        <f t="shared" si="13"/>
        <v>17204.32</v>
      </c>
    </row>
    <row r="42" spans="1:17" ht="15" x14ac:dyDescent="0.2">
      <c r="A42" s="63" t="s">
        <v>182</v>
      </c>
      <c r="B42" s="128"/>
      <c r="C42" s="133">
        <v>1</v>
      </c>
      <c r="D42" s="131">
        <f>2094.39*4</f>
        <v>8377.56</v>
      </c>
      <c r="E42" s="131">
        <f t="shared" ref="E42:Q42" si="14">$C$42*$D$42</f>
        <v>8377.56</v>
      </c>
      <c r="F42" s="131">
        <f t="shared" si="14"/>
        <v>8377.56</v>
      </c>
      <c r="G42" s="131">
        <f t="shared" si="14"/>
        <v>8377.56</v>
      </c>
      <c r="H42" s="131">
        <f t="shared" si="14"/>
        <v>8377.56</v>
      </c>
      <c r="I42" s="131">
        <f t="shared" si="14"/>
        <v>8377.56</v>
      </c>
      <c r="J42" s="131">
        <f t="shared" si="14"/>
        <v>8377.56</v>
      </c>
      <c r="K42" s="131">
        <f t="shared" si="14"/>
        <v>8377.56</v>
      </c>
      <c r="L42" s="131">
        <f t="shared" si="14"/>
        <v>8377.56</v>
      </c>
      <c r="M42" s="131">
        <f t="shared" si="14"/>
        <v>8377.56</v>
      </c>
      <c r="N42" s="131">
        <f t="shared" si="14"/>
        <v>8377.56</v>
      </c>
      <c r="O42" s="131">
        <f t="shared" si="14"/>
        <v>8377.56</v>
      </c>
      <c r="P42" s="131">
        <f t="shared" si="14"/>
        <v>8377.56</v>
      </c>
      <c r="Q42" s="131">
        <f t="shared" si="14"/>
        <v>8377.56</v>
      </c>
    </row>
    <row r="43" spans="1:17" ht="15" x14ac:dyDescent="0.2">
      <c r="A43" s="63" t="s">
        <v>183</v>
      </c>
      <c r="B43" s="128"/>
      <c r="C43" s="133">
        <v>1</v>
      </c>
      <c r="D43" s="131">
        <f>3648.64*4</f>
        <v>14594.56</v>
      </c>
      <c r="E43" s="131">
        <f t="shared" ref="E43:Q43" si="15">$C$43*$D$43</f>
        <v>14594.56</v>
      </c>
      <c r="F43" s="131">
        <f t="shared" si="15"/>
        <v>14594.56</v>
      </c>
      <c r="G43" s="131">
        <f t="shared" si="15"/>
        <v>14594.56</v>
      </c>
      <c r="H43" s="131">
        <f t="shared" si="15"/>
        <v>14594.56</v>
      </c>
      <c r="I43" s="131">
        <f t="shared" si="15"/>
        <v>14594.56</v>
      </c>
      <c r="J43" s="131">
        <f t="shared" si="15"/>
        <v>14594.56</v>
      </c>
      <c r="K43" s="131">
        <f t="shared" si="15"/>
        <v>14594.56</v>
      </c>
      <c r="L43" s="131">
        <f t="shared" si="15"/>
        <v>14594.56</v>
      </c>
      <c r="M43" s="131">
        <f t="shared" si="15"/>
        <v>14594.56</v>
      </c>
      <c r="N43" s="131">
        <f t="shared" si="15"/>
        <v>14594.56</v>
      </c>
      <c r="O43" s="131">
        <f t="shared" si="15"/>
        <v>14594.56</v>
      </c>
      <c r="P43" s="131">
        <f t="shared" si="15"/>
        <v>14594.56</v>
      </c>
      <c r="Q43" s="131">
        <f t="shared" si="15"/>
        <v>14594.56</v>
      </c>
    </row>
    <row r="44" spans="1:17" ht="15" x14ac:dyDescent="0.2">
      <c r="A44" s="63" t="s">
        <v>184</v>
      </c>
      <c r="B44" s="128"/>
      <c r="C44" s="133">
        <v>1</v>
      </c>
      <c r="D44" s="131">
        <f>3974.86*4</f>
        <v>15899.44</v>
      </c>
      <c r="E44" s="131">
        <f t="shared" ref="E44:Q44" si="16">$C$44*$D$44</f>
        <v>15899.44</v>
      </c>
      <c r="F44" s="131">
        <f t="shared" si="16"/>
        <v>15899.44</v>
      </c>
      <c r="G44" s="131">
        <f t="shared" si="16"/>
        <v>15899.44</v>
      </c>
      <c r="H44" s="131">
        <f t="shared" si="16"/>
        <v>15899.44</v>
      </c>
      <c r="I44" s="131">
        <f t="shared" si="16"/>
        <v>15899.44</v>
      </c>
      <c r="J44" s="131">
        <f t="shared" si="16"/>
        <v>15899.44</v>
      </c>
      <c r="K44" s="131">
        <f t="shared" si="16"/>
        <v>15899.44</v>
      </c>
      <c r="L44" s="131">
        <f t="shared" si="16"/>
        <v>15899.44</v>
      </c>
      <c r="M44" s="131">
        <f t="shared" si="16"/>
        <v>15899.44</v>
      </c>
      <c r="N44" s="131">
        <f t="shared" si="16"/>
        <v>15899.44</v>
      </c>
      <c r="O44" s="131">
        <f t="shared" si="16"/>
        <v>15899.44</v>
      </c>
      <c r="P44" s="131">
        <f t="shared" si="16"/>
        <v>15899.44</v>
      </c>
      <c r="Q44" s="131">
        <f t="shared" si="16"/>
        <v>15899.44</v>
      </c>
    </row>
    <row r="45" spans="1:17" ht="15" x14ac:dyDescent="0.2">
      <c r="A45" s="63" t="s">
        <v>260</v>
      </c>
      <c r="B45" s="128"/>
      <c r="C45" s="133">
        <v>1</v>
      </c>
      <c r="D45" s="131">
        <f>2996.21*4</f>
        <v>11984.84</v>
      </c>
      <c r="E45" s="131">
        <f t="shared" ref="E45:Q45" si="17">$C$45*$D$45</f>
        <v>11984.84</v>
      </c>
      <c r="F45" s="131">
        <f t="shared" si="17"/>
        <v>11984.84</v>
      </c>
      <c r="G45" s="131">
        <f t="shared" si="17"/>
        <v>11984.84</v>
      </c>
      <c r="H45" s="131">
        <f t="shared" si="17"/>
        <v>11984.84</v>
      </c>
      <c r="I45" s="131">
        <f t="shared" si="17"/>
        <v>11984.84</v>
      </c>
      <c r="J45" s="131">
        <f t="shared" si="17"/>
        <v>11984.84</v>
      </c>
      <c r="K45" s="131">
        <f t="shared" si="17"/>
        <v>11984.84</v>
      </c>
      <c r="L45" s="131">
        <f t="shared" si="17"/>
        <v>11984.84</v>
      </c>
      <c r="M45" s="131">
        <f t="shared" si="17"/>
        <v>11984.84</v>
      </c>
      <c r="N45" s="131">
        <f t="shared" si="17"/>
        <v>11984.84</v>
      </c>
      <c r="O45" s="131">
        <f t="shared" si="17"/>
        <v>11984.84</v>
      </c>
      <c r="P45" s="131">
        <f t="shared" si="17"/>
        <v>11984.84</v>
      </c>
      <c r="Q45" s="131">
        <f t="shared" si="17"/>
        <v>11984.84</v>
      </c>
    </row>
    <row r="46" spans="1:17" ht="15" x14ac:dyDescent="0.2">
      <c r="A46" s="63"/>
      <c r="B46" s="128"/>
      <c r="C46" s="133"/>
      <c r="D46" s="11"/>
      <c r="E46" s="11"/>
    </row>
    <row r="47" spans="1:17" ht="15" x14ac:dyDescent="0.2">
      <c r="A47" s="78" t="s">
        <v>145</v>
      </c>
      <c r="B47" s="128" t="s">
        <v>146</v>
      </c>
      <c r="C47" s="133">
        <v>16</v>
      </c>
      <c r="D47" s="131">
        <v>192.25</v>
      </c>
      <c r="E47" s="131">
        <f t="shared" ref="E47:Q47" si="18">$C$47*$D$47</f>
        <v>3076</v>
      </c>
      <c r="F47" s="131">
        <f t="shared" si="18"/>
        <v>3076</v>
      </c>
      <c r="G47" s="131">
        <f t="shared" si="18"/>
        <v>3076</v>
      </c>
      <c r="H47" s="131">
        <f t="shared" si="18"/>
        <v>3076</v>
      </c>
      <c r="I47" s="131">
        <f t="shared" si="18"/>
        <v>3076</v>
      </c>
      <c r="J47" s="131">
        <f t="shared" si="18"/>
        <v>3076</v>
      </c>
      <c r="K47" s="131">
        <f t="shared" si="18"/>
        <v>3076</v>
      </c>
      <c r="L47" s="131">
        <f t="shared" si="18"/>
        <v>3076</v>
      </c>
      <c r="M47" s="131">
        <f t="shared" si="18"/>
        <v>3076</v>
      </c>
      <c r="N47" s="131">
        <f t="shared" si="18"/>
        <v>3076</v>
      </c>
      <c r="O47" s="131">
        <f t="shared" si="18"/>
        <v>3076</v>
      </c>
      <c r="P47" s="131">
        <f t="shared" si="18"/>
        <v>3076</v>
      </c>
      <c r="Q47" s="131">
        <f t="shared" si="18"/>
        <v>3076</v>
      </c>
    </row>
    <row r="48" spans="1:17" ht="15" x14ac:dyDescent="0.2">
      <c r="A48" s="78" t="s">
        <v>169</v>
      </c>
      <c r="B48" s="128" t="s">
        <v>146</v>
      </c>
      <c r="C48" s="133">
        <v>16</v>
      </c>
      <c r="D48" s="131">
        <v>1269.898506</v>
      </c>
      <c r="E48" s="131">
        <f t="shared" ref="E48:Q48" si="19">$C$48*$D$48</f>
        <v>20318.376096</v>
      </c>
      <c r="F48" s="131">
        <f t="shared" si="19"/>
        <v>20318.376096</v>
      </c>
      <c r="G48" s="131">
        <f t="shared" si="19"/>
        <v>20318.376096</v>
      </c>
      <c r="H48" s="131">
        <f t="shared" si="19"/>
        <v>20318.376096</v>
      </c>
      <c r="I48" s="131">
        <f t="shared" si="19"/>
        <v>20318.376096</v>
      </c>
      <c r="J48" s="131">
        <f t="shared" si="19"/>
        <v>20318.376096</v>
      </c>
      <c r="K48" s="131">
        <f t="shared" si="19"/>
        <v>20318.376096</v>
      </c>
      <c r="L48" s="131">
        <f t="shared" si="19"/>
        <v>20318.376096</v>
      </c>
      <c r="M48" s="131">
        <f t="shared" si="19"/>
        <v>20318.376096</v>
      </c>
      <c r="N48" s="131">
        <f t="shared" si="19"/>
        <v>20318.376096</v>
      </c>
      <c r="O48" s="131">
        <f t="shared" si="19"/>
        <v>20318.376096</v>
      </c>
      <c r="P48" s="131">
        <f t="shared" si="19"/>
        <v>20318.376096</v>
      </c>
      <c r="Q48" s="131">
        <f t="shared" si="19"/>
        <v>20318.376096</v>
      </c>
    </row>
    <row r="49" spans="1:18" ht="15" x14ac:dyDescent="0.2">
      <c r="A49" s="78" t="s">
        <v>170</v>
      </c>
      <c r="B49" s="128" t="s">
        <v>146</v>
      </c>
      <c r="C49" s="133">
        <v>16</v>
      </c>
      <c r="D49" s="131">
        <v>1085.76</v>
      </c>
      <c r="E49" s="131">
        <f t="shared" ref="E49:Q49" si="20">$C$49*$D$49</f>
        <v>17372.16</v>
      </c>
      <c r="F49" s="131">
        <f t="shared" si="20"/>
        <v>17372.16</v>
      </c>
      <c r="G49" s="131">
        <f t="shared" si="20"/>
        <v>17372.16</v>
      </c>
      <c r="H49" s="131">
        <f t="shared" si="20"/>
        <v>17372.16</v>
      </c>
      <c r="I49" s="131">
        <f t="shared" si="20"/>
        <v>17372.16</v>
      </c>
      <c r="J49" s="131">
        <f t="shared" si="20"/>
        <v>17372.16</v>
      </c>
      <c r="K49" s="131">
        <f t="shared" si="20"/>
        <v>17372.16</v>
      </c>
      <c r="L49" s="131">
        <f t="shared" si="20"/>
        <v>17372.16</v>
      </c>
      <c r="M49" s="131">
        <f t="shared" si="20"/>
        <v>17372.16</v>
      </c>
      <c r="N49" s="131">
        <f t="shared" si="20"/>
        <v>17372.16</v>
      </c>
      <c r="O49" s="131">
        <f t="shared" si="20"/>
        <v>17372.16</v>
      </c>
      <c r="P49" s="131">
        <f t="shared" si="20"/>
        <v>17372.16</v>
      </c>
      <c r="Q49" s="131">
        <f t="shared" si="20"/>
        <v>17372.16</v>
      </c>
    </row>
    <row r="50" spans="1:18" ht="15" x14ac:dyDescent="0.2">
      <c r="A50" s="4" t="s">
        <v>270</v>
      </c>
      <c r="B50" s="4" t="s">
        <v>146</v>
      </c>
      <c r="C50" s="70">
        <v>16</v>
      </c>
      <c r="D50" s="131">
        <v>320.73</v>
      </c>
      <c r="E50" s="131">
        <f t="shared" ref="E50:Q50" si="21">$C$50*$D$50</f>
        <v>5131.68</v>
      </c>
      <c r="F50" s="131">
        <f t="shared" si="21"/>
        <v>5131.68</v>
      </c>
      <c r="G50" s="131">
        <f t="shared" si="21"/>
        <v>5131.68</v>
      </c>
      <c r="H50" s="131">
        <f t="shared" si="21"/>
        <v>5131.68</v>
      </c>
      <c r="I50" s="131">
        <f t="shared" si="21"/>
        <v>5131.68</v>
      </c>
      <c r="J50" s="131">
        <f t="shared" si="21"/>
        <v>5131.68</v>
      </c>
      <c r="K50" s="131">
        <f t="shared" si="21"/>
        <v>5131.68</v>
      </c>
      <c r="L50" s="131">
        <f t="shared" si="21"/>
        <v>5131.68</v>
      </c>
      <c r="M50" s="131">
        <f t="shared" si="21"/>
        <v>5131.68</v>
      </c>
      <c r="N50" s="131">
        <f t="shared" si="21"/>
        <v>5131.68</v>
      </c>
      <c r="O50" s="131">
        <f t="shared" si="21"/>
        <v>5131.68</v>
      </c>
      <c r="P50" s="131">
        <f t="shared" si="21"/>
        <v>5131.68</v>
      </c>
      <c r="Q50" s="131">
        <f t="shared" si="21"/>
        <v>5131.68</v>
      </c>
      <c r="R50" s="131">
        <f>SUM(E50:Q50)</f>
        <v>66711.839999999997</v>
      </c>
    </row>
    <row r="51" spans="1:18" ht="15" x14ac:dyDescent="0.2">
      <c r="A51" s="72" t="s">
        <v>147</v>
      </c>
      <c r="B51" s="78" t="s">
        <v>146</v>
      </c>
      <c r="C51" s="133">
        <v>16</v>
      </c>
      <c r="D51" s="131">
        <f>400</f>
        <v>400</v>
      </c>
      <c r="E51" s="131">
        <f>400*$C$51</f>
        <v>6400</v>
      </c>
      <c r="F51" s="131">
        <f t="shared" ref="F51:Q51" si="22">$C$51*$D$51</f>
        <v>6400</v>
      </c>
      <c r="G51" s="131">
        <f t="shared" si="22"/>
        <v>6400</v>
      </c>
      <c r="H51" s="131">
        <f t="shared" si="22"/>
        <v>6400</v>
      </c>
      <c r="I51" s="131">
        <f t="shared" si="22"/>
        <v>6400</v>
      </c>
      <c r="J51" s="131">
        <f t="shared" si="22"/>
        <v>6400</v>
      </c>
      <c r="K51" s="131">
        <f t="shared" si="22"/>
        <v>6400</v>
      </c>
      <c r="L51" s="131">
        <f t="shared" si="22"/>
        <v>6400</v>
      </c>
      <c r="M51" s="131">
        <f t="shared" si="22"/>
        <v>6400</v>
      </c>
      <c r="N51" s="131">
        <f t="shared" si="22"/>
        <v>6400</v>
      </c>
      <c r="O51" s="131">
        <f t="shared" si="22"/>
        <v>6400</v>
      </c>
      <c r="P51" s="131">
        <f t="shared" si="22"/>
        <v>6400</v>
      </c>
      <c r="Q51" s="131">
        <f t="shared" si="22"/>
        <v>6400</v>
      </c>
    </row>
    <row r="52" spans="1:18" ht="15.75" x14ac:dyDescent="0.25">
      <c r="A52" s="51" t="s">
        <v>31</v>
      </c>
      <c r="B52" s="78" t="s">
        <v>148</v>
      </c>
      <c r="C52" s="133"/>
      <c r="D52" s="131"/>
      <c r="E52" s="131" t="s">
        <v>269</v>
      </c>
      <c r="F52" s="131">
        <f t="shared" ref="F52:Q52" si="23">SUM(F31:F51)</f>
        <v>213726.29609599998</v>
      </c>
      <c r="G52" s="131">
        <f t="shared" si="23"/>
        <v>213726.29609599998</v>
      </c>
      <c r="H52" s="131">
        <f t="shared" si="23"/>
        <v>213726.29609599998</v>
      </c>
      <c r="I52" s="131">
        <f t="shared" si="23"/>
        <v>213726.29609599998</v>
      </c>
      <c r="J52" s="131">
        <f t="shared" si="23"/>
        <v>213726.29609599998</v>
      </c>
      <c r="K52" s="131">
        <f t="shared" si="23"/>
        <v>213726.29609599998</v>
      </c>
      <c r="L52" s="131">
        <f t="shared" si="23"/>
        <v>213726.29609599998</v>
      </c>
      <c r="M52" s="131">
        <f t="shared" si="23"/>
        <v>213726.29609599998</v>
      </c>
      <c r="N52" s="131">
        <f t="shared" si="23"/>
        <v>213726.29609599998</v>
      </c>
      <c r="O52" s="131">
        <f t="shared" si="23"/>
        <v>213726.29609599998</v>
      </c>
      <c r="P52" s="131">
        <f t="shared" si="23"/>
        <v>213726.29609599998</v>
      </c>
      <c r="Q52" s="131">
        <f t="shared" si="23"/>
        <v>213726.29609599998</v>
      </c>
      <c r="R52" s="143">
        <f>SUM(F52:Q52)</f>
        <v>2564715.5531519991</v>
      </c>
    </row>
    <row r="53" spans="1:18" ht="15" x14ac:dyDescent="0.2">
      <c r="A53" s="11"/>
      <c r="B53" s="11"/>
      <c r="C53" s="82"/>
      <c r="D53" s="11"/>
      <c r="E53" s="11"/>
      <c r="F53" s="11"/>
      <c r="G53" s="11"/>
      <c r="H53" s="11"/>
      <c r="I53" s="11"/>
    </row>
    <row r="54" spans="1:18" ht="15" x14ac:dyDescent="0.2">
      <c r="A54" s="11"/>
      <c r="B54" s="11"/>
      <c r="C54" s="82"/>
      <c r="D54" s="11"/>
      <c r="E54" s="11"/>
      <c r="F54" s="11"/>
      <c r="G54" s="11"/>
      <c r="H54" s="11"/>
      <c r="I54" s="11"/>
    </row>
    <row r="55" spans="1:18" ht="12.75" customHeight="1" x14ac:dyDescent="0.25">
      <c r="A55" s="129" t="s">
        <v>81</v>
      </c>
      <c r="B55" s="549" t="s">
        <v>148</v>
      </c>
      <c r="C55" s="550" t="s">
        <v>148</v>
      </c>
      <c r="D55" s="549" t="s">
        <v>148</v>
      </c>
      <c r="E55" s="549" t="s">
        <v>148</v>
      </c>
      <c r="F55" s="660" t="s">
        <v>78</v>
      </c>
      <c r="G55" s="660"/>
      <c r="H55" s="660"/>
      <c r="I55" s="660"/>
      <c r="J55" s="660"/>
      <c r="K55" s="660"/>
      <c r="L55" s="660"/>
      <c r="M55" s="660"/>
      <c r="N55" s="660"/>
      <c r="O55" s="660"/>
      <c r="P55" s="660"/>
      <c r="Q55" s="661"/>
    </row>
    <row r="56" spans="1:18" ht="15.75" x14ac:dyDescent="0.25">
      <c r="A56" s="130" t="s">
        <v>62</v>
      </c>
      <c r="B56" s="545" t="s">
        <v>24</v>
      </c>
      <c r="C56" s="546" t="s">
        <v>72</v>
      </c>
      <c r="D56" s="545" t="s">
        <v>73</v>
      </c>
      <c r="E56" s="545" t="s">
        <v>26</v>
      </c>
      <c r="F56" s="547">
        <v>1</v>
      </c>
      <c r="G56" s="547">
        <v>2</v>
      </c>
      <c r="H56" s="547">
        <v>3</v>
      </c>
      <c r="I56" s="547">
        <v>4</v>
      </c>
      <c r="J56" s="551">
        <v>5</v>
      </c>
      <c r="K56" s="551">
        <v>6</v>
      </c>
      <c r="L56" s="551">
        <v>7</v>
      </c>
      <c r="M56" s="551">
        <v>8</v>
      </c>
      <c r="N56" s="551">
        <v>9</v>
      </c>
      <c r="O56" s="551">
        <v>10</v>
      </c>
      <c r="P56" s="551">
        <v>11</v>
      </c>
      <c r="Q56" s="552">
        <v>12</v>
      </c>
    </row>
    <row r="57" spans="1:18" ht="15" x14ac:dyDescent="0.2">
      <c r="A57" s="130" t="s">
        <v>160</v>
      </c>
      <c r="B57" s="128" t="s">
        <v>146</v>
      </c>
      <c r="C57" s="133">
        <v>1</v>
      </c>
      <c r="D57" s="131">
        <v>300</v>
      </c>
      <c r="E57" s="131">
        <v>300</v>
      </c>
      <c r="F57" s="131">
        <v>300</v>
      </c>
      <c r="G57" s="131">
        <v>300</v>
      </c>
      <c r="H57" s="131">
        <v>300</v>
      </c>
      <c r="I57" s="131">
        <v>300</v>
      </c>
      <c r="J57" s="131">
        <v>300</v>
      </c>
      <c r="K57" s="131">
        <v>300</v>
      </c>
      <c r="L57" s="131">
        <v>300</v>
      </c>
      <c r="M57" s="131">
        <v>300</v>
      </c>
      <c r="N57" s="131">
        <v>300</v>
      </c>
      <c r="O57" s="131">
        <v>300</v>
      </c>
      <c r="P57" s="131">
        <v>300</v>
      </c>
      <c r="Q57" s="131">
        <v>300</v>
      </c>
    </row>
    <row r="58" spans="1:18" ht="15" x14ac:dyDescent="0.2">
      <c r="A58" s="130" t="s">
        <v>161</v>
      </c>
      <c r="B58" s="128" t="s">
        <v>146</v>
      </c>
      <c r="C58" s="133">
        <v>1</v>
      </c>
      <c r="D58" s="131">
        <v>200</v>
      </c>
      <c r="E58" s="131">
        <v>200</v>
      </c>
      <c r="F58" s="131">
        <v>200</v>
      </c>
      <c r="G58" s="131">
        <v>200</v>
      </c>
      <c r="H58" s="131">
        <v>200</v>
      </c>
      <c r="I58" s="131">
        <v>200</v>
      </c>
      <c r="J58" s="131">
        <v>200</v>
      </c>
      <c r="K58" s="131">
        <v>200</v>
      </c>
      <c r="L58" s="131">
        <v>200</v>
      </c>
      <c r="M58" s="131">
        <v>200</v>
      </c>
      <c r="N58" s="131">
        <v>200</v>
      </c>
      <c r="O58" s="131">
        <v>200</v>
      </c>
      <c r="P58" s="131">
        <v>200</v>
      </c>
      <c r="Q58" s="131">
        <v>200</v>
      </c>
    </row>
    <row r="59" spans="1:18" ht="15" x14ac:dyDescent="0.2">
      <c r="A59" s="130" t="s">
        <v>162</v>
      </c>
      <c r="B59" s="128" t="s">
        <v>146</v>
      </c>
      <c r="C59" s="133">
        <v>1</v>
      </c>
      <c r="D59" s="131">
        <v>250</v>
      </c>
      <c r="E59" s="131">
        <v>250</v>
      </c>
      <c r="F59" s="131">
        <v>250</v>
      </c>
      <c r="G59" s="131">
        <v>250</v>
      </c>
      <c r="H59" s="131">
        <v>250</v>
      </c>
      <c r="I59" s="131">
        <v>250</v>
      </c>
      <c r="J59" s="131">
        <v>250</v>
      </c>
      <c r="K59" s="131">
        <v>250</v>
      </c>
      <c r="L59" s="131">
        <v>250</v>
      </c>
      <c r="M59" s="131">
        <v>250</v>
      </c>
      <c r="N59" s="131">
        <v>250</v>
      </c>
      <c r="O59" s="131">
        <v>250</v>
      </c>
      <c r="P59" s="131">
        <v>250</v>
      </c>
      <c r="Q59" s="131">
        <v>250</v>
      </c>
    </row>
    <row r="60" spans="1:18" ht="15" x14ac:dyDescent="0.2">
      <c r="A60" s="130" t="s">
        <v>163</v>
      </c>
      <c r="B60" s="128" t="s">
        <v>146</v>
      </c>
      <c r="C60" s="133">
        <v>1</v>
      </c>
      <c r="D60" s="131">
        <v>150</v>
      </c>
      <c r="E60" s="131">
        <v>150</v>
      </c>
      <c r="F60" s="131">
        <v>150</v>
      </c>
      <c r="G60" s="131">
        <v>150</v>
      </c>
      <c r="H60" s="131">
        <v>150</v>
      </c>
      <c r="I60" s="131">
        <v>150</v>
      </c>
      <c r="J60" s="131">
        <v>150</v>
      </c>
      <c r="K60" s="131">
        <v>150</v>
      </c>
      <c r="L60" s="131">
        <v>150</v>
      </c>
      <c r="M60" s="131">
        <v>150</v>
      </c>
      <c r="N60" s="131">
        <v>150</v>
      </c>
      <c r="O60" s="131">
        <v>150</v>
      </c>
      <c r="P60" s="131">
        <v>150</v>
      </c>
      <c r="Q60" s="131">
        <v>150</v>
      </c>
    </row>
    <row r="61" spans="1:18" ht="15" x14ac:dyDescent="0.2">
      <c r="A61" s="130" t="s">
        <v>164</v>
      </c>
      <c r="B61" s="128" t="s">
        <v>146</v>
      </c>
      <c r="C61" s="133">
        <v>1</v>
      </c>
      <c r="D61" s="131">
        <v>100</v>
      </c>
      <c r="E61" s="131">
        <v>100</v>
      </c>
      <c r="F61" s="131">
        <v>100</v>
      </c>
      <c r="G61" s="131">
        <v>100</v>
      </c>
      <c r="H61" s="131">
        <v>100</v>
      </c>
      <c r="I61" s="131">
        <v>100</v>
      </c>
      <c r="J61" s="131">
        <v>100</v>
      </c>
      <c r="K61" s="131">
        <v>100</v>
      </c>
      <c r="L61" s="131">
        <v>100</v>
      </c>
      <c r="M61" s="131">
        <v>100</v>
      </c>
      <c r="N61" s="131">
        <v>100</v>
      </c>
      <c r="O61" s="131">
        <v>100</v>
      </c>
      <c r="P61" s="131">
        <v>100</v>
      </c>
      <c r="Q61" s="131">
        <v>100</v>
      </c>
    </row>
    <row r="62" spans="1:18" ht="15.75" x14ac:dyDescent="0.25">
      <c r="A62" s="134" t="s">
        <v>31</v>
      </c>
      <c r="B62" s="128" t="s">
        <v>148</v>
      </c>
      <c r="C62" s="133" t="s">
        <v>148</v>
      </c>
      <c r="D62" s="131"/>
      <c r="E62" s="131">
        <f t="shared" ref="E62:Q62" si="24">SUM(E57:E61)</f>
        <v>1000</v>
      </c>
      <c r="F62" s="131">
        <f t="shared" si="24"/>
        <v>1000</v>
      </c>
      <c r="G62" s="131">
        <f t="shared" si="24"/>
        <v>1000</v>
      </c>
      <c r="H62" s="131">
        <f t="shared" si="24"/>
        <v>1000</v>
      </c>
      <c r="I62" s="131">
        <f t="shared" si="24"/>
        <v>1000</v>
      </c>
      <c r="J62" s="131">
        <f t="shared" si="24"/>
        <v>1000</v>
      </c>
      <c r="K62" s="131">
        <f t="shared" si="24"/>
        <v>1000</v>
      </c>
      <c r="L62" s="131">
        <f t="shared" si="24"/>
        <v>1000</v>
      </c>
      <c r="M62" s="131">
        <f t="shared" si="24"/>
        <v>1000</v>
      </c>
      <c r="N62" s="131">
        <f t="shared" si="24"/>
        <v>1000</v>
      </c>
      <c r="O62" s="131">
        <f t="shared" si="24"/>
        <v>1000</v>
      </c>
      <c r="P62" s="131">
        <f t="shared" si="24"/>
        <v>1000</v>
      </c>
      <c r="Q62" s="131">
        <f t="shared" si="24"/>
        <v>1000</v>
      </c>
      <c r="R62" s="143">
        <f>SUM(F62:Q62)</f>
        <v>12000</v>
      </c>
    </row>
    <row r="63" spans="1:18" ht="15" x14ac:dyDescent="0.2">
      <c r="A63" s="11"/>
      <c r="B63" s="11"/>
      <c r="C63" s="82"/>
      <c r="D63" s="132"/>
      <c r="E63" s="132"/>
      <c r="F63" s="132"/>
      <c r="G63" s="132"/>
      <c r="H63" s="132"/>
      <c r="I63" s="132"/>
      <c r="J63" s="131"/>
      <c r="K63" s="131"/>
      <c r="L63" s="131"/>
      <c r="M63" s="131"/>
      <c r="N63" s="131"/>
      <c r="O63" s="131"/>
      <c r="P63" s="131"/>
      <c r="Q63" s="131"/>
    </row>
    <row r="64" spans="1:18" ht="15" x14ac:dyDescent="0.2">
      <c r="A64" s="11"/>
      <c r="B64" s="11"/>
      <c r="C64" s="82"/>
      <c r="D64" s="11"/>
      <c r="E64" s="11"/>
      <c r="F64" s="11"/>
      <c r="G64" s="11"/>
      <c r="H64" s="11"/>
      <c r="I64" s="11"/>
    </row>
    <row r="65" spans="1:18" ht="15" x14ac:dyDescent="0.2">
      <c r="A65" s="11"/>
      <c r="B65" s="11"/>
      <c r="C65" s="82"/>
      <c r="D65" s="11"/>
      <c r="E65" s="11"/>
      <c r="F65" s="11"/>
      <c r="G65" s="11"/>
      <c r="H65" s="11"/>
      <c r="I65" s="11"/>
      <c r="Q65" t="s">
        <v>26</v>
      </c>
      <c r="R65" s="135">
        <f>SUM(R62+R52+R25+R15)</f>
        <v>2835915.5531519991</v>
      </c>
    </row>
    <row r="66" spans="1:18" ht="15" x14ac:dyDescent="0.2">
      <c r="A66" s="11"/>
      <c r="B66" s="11"/>
      <c r="C66" s="82"/>
      <c r="D66" s="11"/>
      <c r="E66" s="11"/>
      <c r="F66" s="11"/>
      <c r="G66" s="11"/>
      <c r="H66" s="11"/>
      <c r="I66" s="11"/>
    </row>
    <row r="74" spans="1:18" ht="15" x14ac:dyDescent="0.2">
      <c r="A74" s="84"/>
      <c r="B74" s="11"/>
      <c r="C74" s="82"/>
      <c r="D74" s="11"/>
      <c r="E74" s="11"/>
      <c r="F74" s="11"/>
      <c r="G74" s="11"/>
      <c r="H74" s="11"/>
      <c r="I74" s="11"/>
    </row>
    <row r="75" spans="1:18" ht="15" x14ac:dyDescent="0.2">
      <c r="A75" s="11"/>
      <c r="B75" s="11"/>
      <c r="C75" s="82"/>
      <c r="D75" s="11"/>
      <c r="E75" s="11"/>
      <c r="F75" s="11"/>
      <c r="G75" s="11"/>
      <c r="H75" s="11"/>
      <c r="I75" s="11"/>
    </row>
    <row r="76" spans="1:18" ht="15" x14ac:dyDescent="0.2">
      <c r="A76" s="11"/>
      <c r="B76" s="11"/>
      <c r="C76" s="82"/>
      <c r="D76" s="11"/>
      <c r="E76" s="11"/>
      <c r="F76" s="11"/>
      <c r="G76" s="11"/>
      <c r="H76" s="11"/>
      <c r="I76" s="11"/>
    </row>
    <row r="77" spans="1:18" ht="15" x14ac:dyDescent="0.2">
      <c r="A77" s="11"/>
      <c r="B77" s="11"/>
      <c r="C77" s="82"/>
      <c r="D77" s="11"/>
      <c r="E77" s="11"/>
      <c r="F77" s="11"/>
      <c r="G77" s="11"/>
      <c r="H77" s="11"/>
      <c r="I77" s="11"/>
    </row>
    <row r="78" spans="1:18" ht="15" x14ac:dyDescent="0.2">
      <c r="A78" s="11"/>
      <c r="B78" s="11"/>
      <c r="C78" s="82"/>
      <c r="D78" s="11"/>
      <c r="E78" s="11"/>
      <c r="F78" s="11"/>
      <c r="G78" s="11"/>
      <c r="H78" s="11"/>
      <c r="I78" s="11"/>
    </row>
    <row r="79" spans="1:18" ht="15" x14ac:dyDescent="0.2">
      <c r="A79" s="11"/>
      <c r="B79" s="11"/>
      <c r="C79" s="82"/>
      <c r="D79" s="11"/>
      <c r="E79" s="11"/>
      <c r="F79" s="11"/>
      <c r="G79" s="11"/>
      <c r="H79" s="11"/>
      <c r="I79" s="11"/>
    </row>
    <row r="80" spans="1:18" ht="15" x14ac:dyDescent="0.2">
      <c r="A80" s="11"/>
      <c r="B80" s="11"/>
      <c r="C80" s="82"/>
      <c r="D80" s="11"/>
      <c r="E80" s="11"/>
      <c r="F80" s="11"/>
      <c r="G80" s="11"/>
      <c r="H80" s="11"/>
      <c r="I80" s="11"/>
    </row>
    <row r="81" spans="1:9" ht="15" x14ac:dyDescent="0.2">
      <c r="A81" s="11"/>
      <c r="B81" s="11"/>
      <c r="C81" s="82"/>
      <c r="D81" s="11"/>
      <c r="E81" s="11"/>
      <c r="F81" s="11"/>
      <c r="G81" s="11"/>
      <c r="H81" s="11"/>
      <c r="I81" s="11"/>
    </row>
    <row r="82" spans="1:9" ht="15" x14ac:dyDescent="0.2">
      <c r="A82" s="11"/>
      <c r="B82" s="11"/>
      <c r="C82" s="82"/>
      <c r="D82" s="11"/>
      <c r="E82" s="11"/>
      <c r="F82" s="11"/>
      <c r="G82" s="11"/>
      <c r="H82" s="11"/>
      <c r="I82" s="11"/>
    </row>
    <row r="83" spans="1:9" ht="15" x14ac:dyDescent="0.2">
      <c r="A83" s="11"/>
      <c r="B83" s="11"/>
      <c r="C83" s="82"/>
      <c r="D83" s="11"/>
      <c r="E83" s="11"/>
      <c r="F83" s="11"/>
      <c r="G83" s="11"/>
      <c r="H83" s="11"/>
      <c r="I83" s="11"/>
    </row>
  </sheetData>
  <mergeCells count="7">
    <mergeCell ref="F55:Q55"/>
    <mergeCell ref="A8:E8"/>
    <mergeCell ref="F8:Q8"/>
    <mergeCell ref="A18:E18"/>
    <mergeCell ref="F18:Q18"/>
    <mergeCell ref="A28:E28"/>
    <mergeCell ref="F28:Q28"/>
  </mergeCells>
  <pageMargins left="0.75" right="0.75" top="1" bottom="1" header="0" footer="0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A80E-0382-469A-A90C-443B3A208E1F}">
  <sheetPr>
    <tabColor theme="8" tint="0.39997558519241921"/>
  </sheetPr>
  <dimension ref="A2:Y359"/>
  <sheetViews>
    <sheetView zoomScale="40" zoomScaleNormal="40" workbookViewId="0">
      <selection activeCell="A2" sqref="A2:N2"/>
    </sheetView>
  </sheetViews>
  <sheetFormatPr baseColWidth="10" defaultColWidth="11.42578125" defaultRowHeight="15" x14ac:dyDescent="0.2"/>
  <cols>
    <col min="1" max="1" width="68.140625" style="11" customWidth="1"/>
    <col min="2" max="4" width="23.42578125" style="11" bestFit="1" customWidth="1"/>
    <col min="5" max="5" width="20.5703125" style="11" customWidth="1"/>
    <col min="6" max="6" width="24" style="11" bestFit="1" customWidth="1"/>
    <col min="7" max="10" width="18.85546875" style="11" bestFit="1" customWidth="1"/>
    <col min="11" max="11" width="20.5703125" style="11" customWidth="1"/>
    <col min="12" max="12" width="21.5703125" style="11" customWidth="1"/>
    <col min="13" max="13" width="18.85546875" style="11" customWidth="1"/>
    <col min="14" max="14" width="21.85546875" style="11" customWidth="1"/>
    <col min="15" max="15" width="14.42578125" style="11" bestFit="1" customWidth="1"/>
    <col min="16" max="16" width="11.42578125" style="11"/>
    <col min="17" max="18" width="39.28515625" style="11" bestFit="1" customWidth="1"/>
    <col min="19" max="22" width="23.140625" style="11" bestFit="1" customWidth="1"/>
    <col min="23" max="25" width="18.7109375" style="11" bestFit="1" customWidth="1"/>
    <col min="26" max="27" width="14" style="11" bestFit="1" customWidth="1"/>
    <col min="28" max="33" width="11.42578125" style="11"/>
    <col min="34" max="38" width="17" style="11" bestFit="1" customWidth="1"/>
    <col min="39" max="16384" width="11.42578125" style="11"/>
  </cols>
  <sheetData>
    <row r="2" spans="1:22" ht="15.75" x14ac:dyDescent="0.25">
      <c r="A2" s="665" t="s">
        <v>103</v>
      </c>
      <c r="B2" s="665"/>
      <c r="C2" s="665"/>
      <c r="D2" s="665"/>
      <c r="E2" s="665"/>
      <c r="F2" s="665"/>
      <c r="G2" s="665"/>
      <c r="H2" s="665"/>
      <c r="I2" s="665"/>
      <c r="J2" s="665"/>
      <c r="K2" s="665"/>
      <c r="L2" s="665"/>
      <c r="M2" s="665"/>
      <c r="N2" s="665"/>
    </row>
    <row r="3" spans="1:22" ht="15.75" x14ac:dyDescent="0.25">
      <c r="A3" s="61" t="s">
        <v>104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 t="s">
        <v>26</v>
      </c>
      <c r="Q3" s="61" t="s">
        <v>104</v>
      </c>
      <c r="R3" s="5" t="s">
        <v>108</v>
      </c>
      <c r="S3" s="5" t="s">
        <v>109</v>
      </c>
      <c r="T3" s="5" t="s">
        <v>110</v>
      </c>
      <c r="U3" s="5" t="s">
        <v>111</v>
      </c>
      <c r="V3" s="5" t="s">
        <v>112</v>
      </c>
    </row>
    <row r="4" spans="1:22" ht="15.75" x14ac:dyDescent="0.25">
      <c r="A4" s="62" t="s">
        <v>105</v>
      </c>
      <c r="B4" s="66">
        <f t="shared" ref="B4:N4" si="0">SUM(B5:B15)</f>
        <v>193560</v>
      </c>
      <c r="C4" s="66">
        <f t="shared" si="0"/>
        <v>197431.2</v>
      </c>
      <c r="D4" s="66">
        <f t="shared" si="0"/>
        <v>193482.576</v>
      </c>
      <c r="E4" s="66">
        <f t="shared" si="0"/>
        <v>199287.05328000002</v>
      </c>
      <c r="F4" s="66">
        <f t="shared" si="0"/>
        <v>203272.79434560004</v>
      </c>
      <c r="G4" s="66">
        <f t="shared" si="0"/>
        <v>197174.61051523199</v>
      </c>
      <c r="H4" s="66">
        <f t="shared" si="0"/>
        <v>195202.86441007967</v>
      </c>
      <c r="I4" s="66">
        <f t="shared" si="0"/>
        <v>199106.92169828125</v>
      </c>
      <c r="J4" s="66">
        <f t="shared" si="0"/>
        <v>195124.7832643156</v>
      </c>
      <c r="K4" s="66">
        <f t="shared" si="0"/>
        <v>193173.5354316725</v>
      </c>
      <c r="L4" s="66">
        <f t="shared" si="0"/>
        <v>197037.00614030589</v>
      </c>
      <c r="M4" s="66">
        <f t="shared" si="0"/>
        <v>200977.74626311206</v>
      </c>
      <c r="N4" s="66">
        <f t="shared" si="0"/>
        <v>2364831.0913485992</v>
      </c>
      <c r="Q4" s="62" t="s">
        <v>105</v>
      </c>
      <c r="R4" s="163">
        <f>SUM(R5:R16)</f>
        <v>2364831.0913485992</v>
      </c>
      <c r="S4" s="163">
        <f>SUM(S5:S16)</f>
        <v>2455457.8581947563</v>
      </c>
      <c r="T4" s="163">
        <f>SUM(T5:T16)</f>
        <v>2549557.6895227861</v>
      </c>
      <c r="U4" s="163">
        <f>SUM(U5:U16)</f>
        <v>2647263.6826207736</v>
      </c>
      <c r="V4" s="163">
        <f>SUM(V5:V16)</f>
        <v>2748714.0354273049</v>
      </c>
    </row>
    <row r="5" spans="1:22" x14ac:dyDescent="0.2">
      <c r="A5" s="19" t="str">
        <f>'M. DE CALCULO DE COSTOS VAR'!A12</f>
        <v xml:space="preserve">Carne de cerdo adobada al pastor </v>
      </c>
      <c r="B5" s="154">
        <f>'M. DE CALCULO DE COSTOS VAR'!E12+'M. DE CALCULO DE COSTOS VAR'!Q12</f>
        <v>114000</v>
      </c>
      <c r="C5" s="118">
        <f t="shared" ref="C5:C15" si="1">B5*1.02</f>
        <v>116280</v>
      </c>
      <c r="D5" s="118">
        <f t="shared" ref="D5:D15" si="2">C5*0.98</f>
        <v>113954.4</v>
      </c>
      <c r="E5" s="118">
        <f t="shared" ref="E5:E15" si="3">D5*1.03</f>
        <v>117373.03199999999</v>
      </c>
      <c r="F5" s="118">
        <f t="shared" ref="F5:F15" si="4">E5*1.02</f>
        <v>119720.49264</v>
      </c>
      <c r="G5" s="118">
        <f t="shared" ref="G5:G15" si="5">F5*0.97</f>
        <v>116128.8778608</v>
      </c>
      <c r="H5" s="118">
        <f t="shared" ref="H5:H15" si="6">G5*0.99</f>
        <v>114967.589082192</v>
      </c>
      <c r="I5" s="118">
        <f t="shared" ref="I5:I15" si="7">H5*1.02</f>
        <v>117266.94086383584</v>
      </c>
      <c r="J5" s="118">
        <f t="shared" ref="J5:J15" si="8">I5*0.98</f>
        <v>114921.60204655913</v>
      </c>
      <c r="K5" s="118">
        <f t="shared" ref="K5:K15" si="9">J5*0.99</f>
        <v>113772.38602609353</v>
      </c>
      <c r="L5" s="118">
        <f t="shared" ref="L5:L15" si="10">K5*1.02</f>
        <v>116047.8337466154</v>
      </c>
      <c r="M5" s="118">
        <f t="shared" ref="M5:M15" si="11">1.02*L5</f>
        <v>118368.79042154772</v>
      </c>
      <c r="N5" s="156">
        <f t="shared" ref="N5:N15" si="12">SUM(B5:M5)</f>
        <v>1392801.9446876436</v>
      </c>
      <c r="Q5" s="19" t="str">
        <f t="shared" ref="Q5:Q15" si="13">A5</f>
        <v xml:space="preserve">Carne de cerdo adobada al pastor </v>
      </c>
      <c r="R5" s="118">
        <f t="shared" ref="R5:R15" si="14">N5</f>
        <v>1392801.9446876436</v>
      </c>
      <c r="S5" s="118">
        <f t="shared" ref="S5:S15" si="15">N58</f>
        <v>1446177.9078022437</v>
      </c>
      <c r="T5" s="118">
        <f t="shared" ref="T5:T15" si="16">N111</f>
        <v>1501599.3831659313</v>
      </c>
      <c r="U5" s="118">
        <f t="shared" ref="U5:U15" si="17">N164</f>
        <v>1559144.7603780129</v>
      </c>
      <c r="V5" s="118">
        <f t="shared" ref="V5:V15" si="18">N217</f>
        <v>1618895.4331406946</v>
      </c>
    </row>
    <row r="6" spans="1:22" x14ac:dyDescent="0.2">
      <c r="A6" s="19" t="str">
        <f>'M. DE CALCULO DE COSTOS VAR'!A13</f>
        <v>Tortilla de maíz</v>
      </c>
      <c r="B6" s="154">
        <f>'M. DE CALCULO DE COSTOS VAR'!E13+'M. DE CALCULO DE COSTOS VAR'!Q14</f>
        <v>4560</v>
      </c>
      <c r="C6" s="118">
        <f t="shared" si="1"/>
        <v>4651.2</v>
      </c>
      <c r="D6" s="118">
        <f t="shared" si="2"/>
        <v>4558.1759999999995</v>
      </c>
      <c r="E6" s="118">
        <f t="shared" si="3"/>
        <v>4694.9212799999996</v>
      </c>
      <c r="F6" s="118">
        <f t="shared" si="4"/>
        <v>4788.8197055999999</v>
      </c>
      <c r="G6" s="118">
        <f t="shared" si="5"/>
        <v>4645.1551144320001</v>
      </c>
      <c r="H6" s="118">
        <f t="shared" si="6"/>
        <v>4598.7035632876805</v>
      </c>
      <c r="I6" s="118">
        <f t="shared" si="7"/>
        <v>4690.6776345534345</v>
      </c>
      <c r="J6" s="118">
        <f t="shared" si="8"/>
        <v>4596.8640818623653</v>
      </c>
      <c r="K6" s="118">
        <f t="shared" si="9"/>
        <v>4550.8954410437418</v>
      </c>
      <c r="L6" s="118">
        <f t="shared" si="10"/>
        <v>4641.913349864617</v>
      </c>
      <c r="M6" s="118">
        <f t="shared" si="11"/>
        <v>4734.7516168619095</v>
      </c>
      <c r="N6" s="156">
        <f t="shared" si="12"/>
        <v>55712.077787505754</v>
      </c>
      <c r="Q6" s="19" t="str">
        <f t="shared" si="13"/>
        <v>Tortilla de maíz</v>
      </c>
      <c r="R6" s="118">
        <f t="shared" si="14"/>
        <v>55712.077787505754</v>
      </c>
      <c r="S6" s="118">
        <f t="shared" si="15"/>
        <v>57847.116312089762</v>
      </c>
      <c r="T6" s="118">
        <f t="shared" si="16"/>
        <v>60063.975326637257</v>
      </c>
      <c r="U6" s="118">
        <f t="shared" si="17"/>
        <v>62365.790415120522</v>
      </c>
      <c r="V6" s="118">
        <f t="shared" si="18"/>
        <v>64755.817325627824</v>
      </c>
    </row>
    <row r="7" spans="1:22" x14ac:dyDescent="0.2">
      <c r="A7" s="19" t="str">
        <f>'M. DE CALCULO DE COSTOS VAR'!A14</f>
        <v>Piña</v>
      </c>
      <c r="B7" s="154">
        <f>'M. DE CALCULO DE COSTOS VAR'!E14</f>
        <v>2400</v>
      </c>
      <c r="C7" s="118">
        <f t="shared" si="1"/>
        <v>2448</v>
      </c>
      <c r="D7" s="118">
        <f t="shared" si="2"/>
        <v>2399.04</v>
      </c>
      <c r="E7" s="118">
        <f t="shared" si="3"/>
        <v>2471.0111999999999</v>
      </c>
      <c r="F7" s="118">
        <f t="shared" si="4"/>
        <v>2520.4314239999999</v>
      </c>
      <c r="G7" s="118">
        <f t="shared" si="5"/>
        <v>2444.81848128</v>
      </c>
      <c r="H7" s="118">
        <f t="shared" si="6"/>
        <v>2420.3702964672002</v>
      </c>
      <c r="I7" s="118">
        <f t="shared" si="7"/>
        <v>2468.7777023965441</v>
      </c>
      <c r="J7" s="118">
        <f t="shared" si="8"/>
        <v>2419.4021483486131</v>
      </c>
      <c r="K7" s="118">
        <f t="shared" si="9"/>
        <v>2395.2081268651268</v>
      </c>
      <c r="L7" s="118">
        <f t="shared" si="10"/>
        <v>2443.1122894024293</v>
      </c>
      <c r="M7" s="118">
        <f t="shared" si="11"/>
        <v>2491.974535190478</v>
      </c>
      <c r="N7" s="156">
        <f t="shared" si="12"/>
        <v>29322.146203950393</v>
      </c>
      <c r="Q7" s="19" t="str">
        <f t="shared" si="13"/>
        <v>Piña</v>
      </c>
      <c r="R7" s="118">
        <f t="shared" si="14"/>
        <v>29322.146203950393</v>
      </c>
      <c r="S7" s="118">
        <f t="shared" si="15"/>
        <v>30445.850690573552</v>
      </c>
      <c r="T7" s="118">
        <f t="shared" si="16"/>
        <v>31612.618592966974</v>
      </c>
      <c r="U7" s="118">
        <f t="shared" si="17"/>
        <v>32824.100218484484</v>
      </c>
      <c r="V7" s="118">
        <f t="shared" si="18"/>
        <v>34082.00911875147</v>
      </c>
    </row>
    <row r="8" spans="1:22" x14ac:dyDescent="0.2">
      <c r="A8" s="19" t="str">
        <f>'M. DE CALCULO DE COSTOS VAR'!A15</f>
        <v>Cebolla</v>
      </c>
      <c r="B8" s="154">
        <f>'M. DE CALCULO DE COSTOS VAR'!E15</f>
        <v>1200</v>
      </c>
      <c r="C8" s="118">
        <f t="shared" si="1"/>
        <v>1224</v>
      </c>
      <c r="D8" s="118">
        <f t="shared" si="2"/>
        <v>1199.52</v>
      </c>
      <c r="E8" s="118">
        <f t="shared" si="3"/>
        <v>1235.5056</v>
      </c>
      <c r="F8" s="118">
        <f t="shared" si="4"/>
        <v>1260.2157119999999</v>
      </c>
      <c r="G8" s="118">
        <f t="shared" si="5"/>
        <v>1222.40924064</v>
      </c>
      <c r="H8" s="118">
        <f t="shared" si="6"/>
        <v>1210.1851482336001</v>
      </c>
      <c r="I8" s="118">
        <f t="shared" si="7"/>
        <v>1234.3888511982721</v>
      </c>
      <c r="J8" s="118">
        <f t="shared" si="8"/>
        <v>1209.7010741743065</v>
      </c>
      <c r="K8" s="118">
        <f t="shared" si="9"/>
        <v>1197.6040634325634</v>
      </c>
      <c r="L8" s="118">
        <f t="shared" si="10"/>
        <v>1221.5561447012146</v>
      </c>
      <c r="M8" s="118">
        <f t="shared" si="11"/>
        <v>1245.987267595239</v>
      </c>
      <c r="N8" s="156">
        <f t="shared" si="12"/>
        <v>14661.073101975197</v>
      </c>
      <c r="Q8" s="19" t="str">
        <f t="shared" si="13"/>
        <v>Cebolla</v>
      </c>
      <c r="R8" s="118">
        <f t="shared" si="14"/>
        <v>14661.073101975197</v>
      </c>
      <c r="S8" s="118">
        <f t="shared" si="15"/>
        <v>15222.925345286776</v>
      </c>
      <c r="T8" s="118">
        <f t="shared" si="16"/>
        <v>15806.309296483487</v>
      </c>
      <c r="U8" s="118">
        <f t="shared" si="17"/>
        <v>16412.050109242242</v>
      </c>
      <c r="V8" s="118">
        <f t="shared" si="18"/>
        <v>17041.004559375735</v>
      </c>
    </row>
    <row r="9" spans="1:22" x14ac:dyDescent="0.2">
      <c r="A9" s="19" t="str">
        <f>'M. DE CALCULO DE COSTOS VAR'!A16</f>
        <v>Cilantro</v>
      </c>
      <c r="B9" s="118">
        <f>'M. DE CALCULO DE COSTOS VAR'!E16</f>
        <v>1200</v>
      </c>
      <c r="C9" s="118">
        <f t="shared" si="1"/>
        <v>1224</v>
      </c>
      <c r="D9" s="118">
        <f t="shared" si="2"/>
        <v>1199.52</v>
      </c>
      <c r="E9" s="118">
        <f t="shared" si="3"/>
        <v>1235.5056</v>
      </c>
      <c r="F9" s="118">
        <f t="shared" si="4"/>
        <v>1260.2157119999999</v>
      </c>
      <c r="G9" s="118">
        <f t="shared" si="5"/>
        <v>1222.40924064</v>
      </c>
      <c r="H9" s="118">
        <f t="shared" si="6"/>
        <v>1210.1851482336001</v>
      </c>
      <c r="I9" s="118">
        <f t="shared" si="7"/>
        <v>1234.3888511982721</v>
      </c>
      <c r="J9" s="118">
        <f t="shared" si="8"/>
        <v>1209.7010741743065</v>
      </c>
      <c r="K9" s="118">
        <f t="shared" si="9"/>
        <v>1197.6040634325634</v>
      </c>
      <c r="L9" s="118">
        <f t="shared" si="10"/>
        <v>1221.5561447012146</v>
      </c>
      <c r="M9" s="118">
        <f t="shared" si="11"/>
        <v>1245.987267595239</v>
      </c>
      <c r="N9" s="156">
        <f t="shared" si="12"/>
        <v>14661.073101975197</v>
      </c>
      <c r="Q9" s="19" t="str">
        <f t="shared" si="13"/>
        <v>Cilantro</v>
      </c>
      <c r="R9" s="118">
        <f t="shared" si="14"/>
        <v>14661.073101975197</v>
      </c>
      <c r="S9" s="118">
        <f t="shared" si="15"/>
        <v>15222.925345286776</v>
      </c>
      <c r="T9" s="118">
        <f t="shared" si="16"/>
        <v>15806.309296483487</v>
      </c>
      <c r="U9" s="118">
        <f t="shared" si="17"/>
        <v>16412.050109242242</v>
      </c>
      <c r="V9" s="118">
        <f t="shared" si="18"/>
        <v>17041.004559375735</v>
      </c>
    </row>
    <row r="10" spans="1:22" x14ac:dyDescent="0.2">
      <c r="A10" s="19" t="str" cm="1">
        <f t="array" ref="A10:A11">'M. DE CALCULO DE COSTOS VAR'!G12:G13</f>
        <v xml:space="preserve">Carne de cerdo marinada estilo oriental </v>
      </c>
      <c r="B10" s="118">
        <f>'M. DE CALCULO DE COSTOS VAR'!K12</f>
        <v>45000</v>
      </c>
      <c r="C10" s="118">
        <f t="shared" si="1"/>
        <v>45900</v>
      </c>
      <c r="D10" s="118">
        <f t="shared" si="2"/>
        <v>44982</v>
      </c>
      <c r="E10" s="118">
        <f t="shared" si="3"/>
        <v>46331.46</v>
      </c>
      <c r="F10" s="118">
        <f t="shared" si="4"/>
        <v>47258.089200000002</v>
      </c>
      <c r="G10" s="118">
        <f t="shared" si="5"/>
        <v>45840.346524</v>
      </c>
      <c r="H10" s="118">
        <f t="shared" si="6"/>
        <v>45381.94305876</v>
      </c>
      <c r="I10" s="118">
        <f t="shared" si="7"/>
        <v>46289.581919935197</v>
      </c>
      <c r="J10" s="118">
        <f t="shared" si="8"/>
        <v>45363.790281536494</v>
      </c>
      <c r="K10" s="118">
        <f t="shared" si="9"/>
        <v>44910.152378721126</v>
      </c>
      <c r="L10" s="118">
        <f t="shared" si="10"/>
        <v>45808.355426295551</v>
      </c>
      <c r="M10" s="118">
        <f t="shared" si="11"/>
        <v>46724.522534821466</v>
      </c>
      <c r="N10" s="156">
        <f t="shared" si="12"/>
        <v>549790.24132406979</v>
      </c>
      <c r="Q10" s="19" t="str">
        <f t="shared" si="13"/>
        <v xml:space="preserve">Carne de cerdo marinada estilo oriental </v>
      </c>
      <c r="R10" s="118">
        <f t="shared" si="14"/>
        <v>549790.24132406979</v>
      </c>
      <c r="S10" s="118">
        <f t="shared" si="15"/>
        <v>570859.70044825401</v>
      </c>
      <c r="T10" s="118">
        <f t="shared" si="16"/>
        <v>592736.59861813067</v>
      </c>
      <c r="U10" s="118">
        <f t="shared" si="17"/>
        <v>615451.87909658381</v>
      </c>
      <c r="V10" s="118">
        <f t="shared" si="18"/>
        <v>639037.6709765899</v>
      </c>
    </row>
    <row r="11" spans="1:22" x14ac:dyDescent="0.2">
      <c r="A11" s="19" t="str">
        <v>Pan árabe (Pita)</v>
      </c>
      <c r="B11" s="118">
        <f>'M. DE CALCULO DE COSTOS VAR'!K13</f>
        <v>3600</v>
      </c>
      <c r="C11" s="118">
        <f t="shared" si="1"/>
        <v>3672</v>
      </c>
      <c r="D11" s="118">
        <f t="shared" si="2"/>
        <v>3598.56</v>
      </c>
      <c r="E11" s="118">
        <f t="shared" si="3"/>
        <v>3706.5167999999999</v>
      </c>
      <c r="F11" s="118">
        <f t="shared" si="4"/>
        <v>3780.647136</v>
      </c>
      <c r="G11" s="118">
        <f t="shared" si="5"/>
        <v>3667.22772192</v>
      </c>
      <c r="H11" s="118">
        <f t="shared" si="6"/>
        <v>3630.5554447007999</v>
      </c>
      <c r="I11" s="118">
        <f t="shared" si="7"/>
        <v>3703.1665535948159</v>
      </c>
      <c r="J11" s="118">
        <f t="shared" si="8"/>
        <v>3629.1032225229196</v>
      </c>
      <c r="K11" s="118">
        <f t="shared" si="9"/>
        <v>3592.8121902976904</v>
      </c>
      <c r="L11" s="118">
        <f t="shared" si="10"/>
        <v>3664.6684341036444</v>
      </c>
      <c r="M11" s="118">
        <f t="shared" si="11"/>
        <v>3737.9618027857173</v>
      </c>
      <c r="N11" s="156">
        <f t="shared" si="12"/>
        <v>43983.219305925588</v>
      </c>
      <c r="Q11" s="19" t="str">
        <f t="shared" si="13"/>
        <v>Pan árabe (Pita)</v>
      </c>
      <c r="R11" s="118">
        <f t="shared" si="14"/>
        <v>43983.219305925588</v>
      </c>
      <c r="S11" s="118">
        <f t="shared" si="15"/>
        <v>45668.776035860319</v>
      </c>
      <c r="T11" s="118">
        <f t="shared" si="16"/>
        <v>47418.927889450453</v>
      </c>
      <c r="U11" s="118">
        <f t="shared" si="17"/>
        <v>49236.150327726704</v>
      </c>
      <c r="V11" s="118">
        <f t="shared" si="18"/>
        <v>51123.013678127201</v>
      </c>
    </row>
    <row r="12" spans="1:22" x14ac:dyDescent="0.2">
      <c r="A12" s="19" t="str">
        <f>'M. DE CALCULO DE COSTOS VAR'!M13</f>
        <v>Tocino</v>
      </c>
      <c r="B12" s="118">
        <f>'M. DE CALCULO DE COSTOS VAR'!Q13</f>
        <v>12600</v>
      </c>
      <c r="C12" s="118">
        <f t="shared" si="1"/>
        <v>12852</v>
      </c>
      <c r="D12" s="118">
        <f t="shared" si="2"/>
        <v>12594.96</v>
      </c>
      <c r="E12" s="118">
        <f t="shared" si="3"/>
        <v>12972.808799999999</v>
      </c>
      <c r="F12" s="118">
        <f t="shared" si="4"/>
        <v>13232.264975999999</v>
      </c>
      <c r="G12" s="118">
        <f t="shared" si="5"/>
        <v>12835.297026719998</v>
      </c>
      <c r="H12" s="118">
        <f t="shared" si="6"/>
        <v>12706.944056452798</v>
      </c>
      <c r="I12" s="118">
        <f t="shared" si="7"/>
        <v>12961.082937581854</v>
      </c>
      <c r="J12" s="118">
        <f t="shared" si="8"/>
        <v>12701.861278830216</v>
      </c>
      <c r="K12" s="118">
        <f t="shared" si="9"/>
        <v>12574.842666041914</v>
      </c>
      <c r="L12" s="118">
        <f t="shared" si="10"/>
        <v>12826.339519362753</v>
      </c>
      <c r="M12" s="118">
        <f t="shared" si="11"/>
        <v>13082.866309750008</v>
      </c>
      <c r="N12" s="156">
        <f t="shared" si="12"/>
        <v>153941.26757073952</v>
      </c>
      <c r="Q12" s="19" t="str">
        <f t="shared" si="13"/>
        <v>Tocino</v>
      </c>
      <c r="R12" s="118">
        <f t="shared" si="14"/>
        <v>153941.26757073952</v>
      </c>
      <c r="S12" s="118">
        <f t="shared" si="15"/>
        <v>159840.7161255111</v>
      </c>
      <c r="T12" s="118">
        <f t="shared" si="16"/>
        <v>165966.24761307653</v>
      </c>
      <c r="U12" s="118">
        <f t="shared" si="17"/>
        <v>172326.52614704342</v>
      </c>
      <c r="V12" s="118">
        <f t="shared" si="18"/>
        <v>178930.54787344509</v>
      </c>
    </row>
    <row r="13" spans="1:22" x14ac:dyDescent="0.2">
      <c r="A13" s="19" t="str" cm="1">
        <f t="array" ref="A13:A15">'M. DE CALCULO DE COSTOS VAR'!M15:M17</f>
        <v>Chile poblano</v>
      </c>
      <c r="B13" s="166">
        <f>'M. DE CALCULO DE COSTOS VAR'!Q15</f>
        <v>3600</v>
      </c>
      <c r="C13" s="118">
        <f t="shared" si="1"/>
        <v>3672</v>
      </c>
      <c r="D13" s="118">
        <f t="shared" si="2"/>
        <v>3598.56</v>
      </c>
      <c r="E13" s="118">
        <f t="shared" si="3"/>
        <v>3706.5167999999999</v>
      </c>
      <c r="F13" s="118">
        <f t="shared" si="4"/>
        <v>3780.647136</v>
      </c>
      <c r="G13" s="118">
        <f t="shared" si="5"/>
        <v>3667.22772192</v>
      </c>
      <c r="H13" s="118">
        <f t="shared" si="6"/>
        <v>3630.5554447007999</v>
      </c>
      <c r="I13" s="118">
        <f t="shared" si="7"/>
        <v>3703.1665535948159</v>
      </c>
      <c r="J13" s="118">
        <f t="shared" si="8"/>
        <v>3629.1032225229196</v>
      </c>
      <c r="K13" s="118">
        <f t="shared" si="9"/>
        <v>3592.8121902976904</v>
      </c>
      <c r="L13" s="118">
        <f t="shared" si="10"/>
        <v>3664.6684341036444</v>
      </c>
      <c r="M13" s="118">
        <f t="shared" si="11"/>
        <v>3737.9618027857173</v>
      </c>
      <c r="N13" s="156">
        <f t="shared" si="12"/>
        <v>43983.219305925588</v>
      </c>
      <c r="Q13" s="19" t="str">
        <f t="shared" si="13"/>
        <v>Chile poblano</v>
      </c>
      <c r="R13" s="118">
        <f t="shared" si="14"/>
        <v>43983.219305925588</v>
      </c>
      <c r="S13" s="118">
        <f t="shared" si="15"/>
        <v>45668.776035860319</v>
      </c>
      <c r="T13" s="118">
        <f t="shared" si="16"/>
        <v>47418.927889450453</v>
      </c>
      <c r="U13" s="118">
        <f t="shared" si="17"/>
        <v>49236.150327726704</v>
      </c>
      <c r="V13" s="118">
        <f t="shared" si="18"/>
        <v>51123.013678127201</v>
      </c>
    </row>
    <row r="14" spans="1:22" x14ac:dyDescent="0.2">
      <c r="A14" s="19" t="str">
        <v>Cebolla</v>
      </c>
      <c r="B14" s="166">
        <f>'M. DE CALCULO DE COSTOS VAR'!Q16</f>
        <v>3000</v>
      </c>
      <c r="C14" s="118">
        <f t="shared" si="1"/>
        <v>3060</v>
      </c>
      <c r="D14" s="118">
        <f t="shared" si="2"/>
        <v>2998.7999999999997</v>
      </c>
      <c r="E14" s="118">
        <f t="shared" si="3"/>
        <v>3088.7639999999997</v>
      </c>
      <c r="F14" s="118">
        <f t="shared" si="4"/>
        <v>3150.5392799999995</v>
      </c>
      <c r="G14" s="118">
        <f t="shared" si="5"/>
        <v>3056.0231015999993</v>
      </c>
      <c r="H14" s="118">
        <f t="shared" si="6"/>
        <v>3025.4628705839991</v>
      </c>
      <c r="I14" s="118">
        <f t="shared" si="7"/>
        <v>3085.9721279956793</v>
      </c>
      <c r="J14" s="118">
        <f t="shared" si="8"/>
        <v>3024.2526854357657</v>
      </c>
      <c r="K14" s="118">
        <f t="shared" si="9"/>
        <v>2994.0101585814082</v>
      </c>
      <c r="L14" s="118">
        <f t="shared" si="10"/>
        <v>3053.8903617530364</v>
      </c>
      <c r="M14" s="118">
        <f t="shared" si="11"/>
        <v>3114.9681689880972</v>
      </c>
      <c r="N14" s="156">
        <f t="shared" si="12"/>
        <v>36652.682754937981</v>
      </c>
      <c r="Q14" s="19" t="str">
        <f t="shared" si="13"/>
        <v>Cebolla</v>
      </c>
      <c r="R14" s="118">
        <f t="shared" si="14"/>
        <v>36652.682754937981</v>
      </c>
      <c r="S14" s="118">
        <f t="shared" si="15"/>
        <v>38057.313363216934</v>
      </c>
      <c r="T14" s="118">
        <f t="shared" si="16"/>
        <v>39515.773241208706</v>
      </c>
      <c r="U14" s="118">
        <f t="shared" si="17"/>
        <v>41030.125273105572</v>
      </c>
      <c r="V14" s="118">
        <f t="shared" si="18"/>
        <v>42602.51139843931</v>
      </c>
    </row>
    <row r="15" spans="1:22" x14ac:dyDescent="0.2">
      <c r="A15" s="19" t="str">
        <v>Jitomate</v>
      </c>
      <c r="B15" s="166">
        <f>'M. DE CALCULO DE COSTOS VAR'!Q17</f>
        <v>2400</v>
      </c>
      <c r="C15" s="118">
        <f t="shared" si="1"/>
        <v>2448</v>
      </c>
      <c r="D15" s="118">
        <f t="shared" si="2"/>
        <v>2399.04</v>
      </c>
      <c r="E15" s="118">
        <f t="shared" si="3"/>
        <v>2471.0111999999999</v>
      </c>
      <c r="F15" s="118">
        <f t="shared" si="4"/>
        <v>2520.4314239999999</v>
      </c>
      <c r="G15" s="118">
        <f t="shared" si="5"/>
        <v>2444.81848128</v>
      </c>
      <c r="H15" s="118">
        <f t="shared" si="6"/>
        <v>2420.3702964672002</v>
      </c>
      <c r="I15" s="118">
        <f t="shared" si="7"/>
        <v>2468.7777023965441</v>
      </c>
      <c r="J15" s="118">
        <f t="shared" si="8"/>
        <v>2419.4021483486131</v>
      </c>
      <c r="K15" s="118">
        <f t="shared" si="9"/>
        <v>2395.2081268651268</v>
      </c>
      <c r="L15" s="118">
        <f t="shared" si="10"/>
        <v>2443.1122894024293</v>
      </c>
      <c r="M15" s="118">
        <f t="shared" si="11"/>
        <v>2491.974535190478</v>
      </c>
      <c r="N15" s="156">
        <f t="shared" si="12"/>
        <v>29322.146203950393</v>
      </c>
      <c r="Q15" s="19" t="str">
        <f t="shared" si="13"/>
        <v>Jitomate</v>
      </c>
      <c r="R15" s="118">
        <f t="shared" si="14"/>
        <v>29322.146203950393</v>
      </c>
      <c r="S15" s="118">
        <f t="shared" si="15"/>
        <v>30445.850690573552</v>
      </c>
      <c r="T15" s="118">
        <f t="shared" si="16"/>
        <v>31612.618592966974</v>
      </c>
      <c r="U15" s="118">
        <f t="shared" si="17"/>
        <v>32824.100218484484</v>
      </c>
      <c r="V15" s="118">
        <f t="shared" si="18"/>
        <v>34082.00911875147</v>
      </c>
    </row>
    <row r="16" spans="1:22" ht="15.75" x14ac:dyDescent="0.25">
      <c r="A16" s="62" t="s">
        <v>106</v>
      </c>
      <c r="B16" s="162">
        <f t="shared" ref="B16:N16" si="19">SUM(B17:B41,B46:B52)</f>
        <v>207422.45609599998</v>
      </c>
      <c r="C16" s="162">
        <f t="shared" si="19"/>
        <v>207422.45609599998</v>
      </c>
      <c r="D16" s="162">
        <f t="shared" si="19"/>
        <v>207422.45609599998</v>
      </c>
      <c r="E16" s="162">
        <f t="shared" si="19"/>
        <v>207422.45609599998</v>
      </c>
      <c r="F16" s="162">
        <f t="shared" si="19"/>
        <v>207422.45609599998</v>
      </c>
      <c r="G16" s="162">
        <f t="shared" si="19"/>
        <v>207422.45609599998</v>
      </c>
      <c r="H16" s="162">
        <f t="shared" si="19"/>
        <v>207422.45609599998</v>
      </c>
      <c r="I16" s="162">
        <f t="shared" si="19"/>
        <v>207422.45609599998</v>
      </c>
      <c r="J16" s="162">
        <f t="shared" si="19"/>
        <v>207422.45609599998</v>
      </c>
      <c r="K16" s="162">
        <f t="shared" si="19"/>
        <v>207422.45609599998</v>
      </c>
      <c r="L16" s="162">
        <f t="shared" si="19"/>
        <v>207422.45609599998</v>
      </c>
      <c r="M16" s="162">
        <f t="shared" si="19"/>
        <v>207422.45609599998</v>
      </c>
      <c r="N16" s="162">
        <f t="shared" si="19"/>
        <v>2489069.473152</v>
      </c>
    </row>
    <row r="17" spans="1:25" ht="15.75" x14ac:dyDescent="0.25">
      <c r="A17" s="50" t="str">
        <f>'M. DE CALCULO DE GASTOS FIJO'!A10</f>
        <v>Renta del local</v>
      </c>
      <c r="B17" s="161" cm="1">
        <f t="array" ref="B17:B21">'M. DE CALCULO DE GASTOS FIJO'!E10:E14</f>
        <v>16000</v>
      </c>
      <c r="C17" s="161">
        <f t="shared" ref="C17:M17" si="20">B17</f>
        <v>16000</v>
      </c>
      <c r="D17" s="161">
        <f t="shared" si="20"/>
        <v>16000</v>
      </c>
      <c r="E17" s="161">
        <f t="shared" si="20"/>
        <v>16000</v>
      </c>
      <c r="F17" s="161">
        <f t="shared" si="20"/>
        <v>16000</v>
      </c>
      <c r="G17" s="161">
        <f t="shared" si="20"/>
        <v>16000</v>
      </c>
      <c r="H17" s="161">
        <f t="shared" si="20"/>
        <v>16000</v>
      </c>
      <c r="I17" s="161">
        <f t="shared" si="20"/>
        <v>16000</v>
      </c>
      <c r="J17" s="161">
        <f t="shared" si="20"/>
        <v>16000</v>
      </c>
      <c r="K17" s="161">
        <f t="shared" si="20"/>
        <v>16000</v>
      </c>
      <c r="L17" s="161">
        <f t="shared" si="20"/>
        <v>16000</v>
      </c>
      <c r="M17" s="161">
        <f t="shared" si="20"/>
        <v>16000</v>
      </c>
      <c r="N17" s="161">
        <f t="shared" ref="N17:N52" si="21">SUM(B17:M17)</f>
        <v>192000</v>
      </c>
      <c r="Q17" s="62" t="s">
        <v>106</v>
      </c>
      <c r="R17" s="163">
        <f>N16</f>
        <v>2489069.473152</v>
      </c>
      <c r="S17" s="163">
        <f>N69</f>
        <v>2489069.473152</v>
      </c>
      <c r="T17" s="163">
        <f>N122</f>
        <v>2489069.473152</v>
      </c>
      <c r="U17" s="163">
        <f>N175</f>
        <v>2489069.473152</v>
      </c>
      <c r="V17" s="163">
        <f>N228</f>
        <v>2489069.473152</v>
      </c>
    </row>
    <row r="18" spans="1:25" x14ac:dyDescent="0.2">
      <c r="A18" s="50" t="str">
        <f>'M. DE CALCULO DE GASTOS FIJO'!A11</f>
        <v>Internet / teléfono</v>
      </c>
      <c r="B18" s="161">
        <v>600</v>
      </c>
      <c r="C18" s="161">
        <f t="shared" ref="C18:M18" si="22">B18</f>
        <v>600</v>
      </c>
      <c r="D18" s="161">
        <f t="shared" si="22"/>
        <v>600</v>
      </c>
      <c r="E18" s="161">
        <f t="shared" si="22"/>
        <v>600</v>
      </c>
      <c r="F18" s="161">
        <f t="shared" si="22"/>
        <v>600</v>
      </c>
      <c r="G18" s="161">
        <f t="shared" si="22"/>
        <v>600</v>
      </c>
      <c r="H18" s="161">
        <f t="shared" si="22"/>
        <v>600</v>
      </c>
      <c r="I18" s="161">
        <f t="shared" si="22"/>
        <v>600</v>
      </c>
      <c r="J18" s="161">
        <f t="shared" si="22"/>
        <v>600</v>
      </c>
      <c r="K18" s="161">
        <f t="shared" si="22"/>
        <v>600</v>
      </c>
      <c r="L18" s="161">
        <f t="shared" si="22"/>
        <v>600</v>
      </c>
      <c r="M18" s="161">
        <f t="shared" si="22"/>
        <v>600</v>
      </c>
      <c r="N18" s="161">
        <f t="shared" si="21"/>
        <v>7200</v>
      </c>
      <c r="Q18" s="50" t="str">
        <f t="shared" ref="Q18:Q53" si="23">A17</f>
        <v>Renta del local</v>
      </c>
      <c r="R18" s="161">
        <f t="shared" ref="R18:R53" si="24">M17</f>
        <v>16000</v>
      </c>
      <c r="S18" s="161">
        <f t="shared" ref="S18:V37" si="25">R18</f>
        <v>16000</v>
      </c>
      <c r="T18" s="161">
        <f t="shared" si="25"/>
        <v>16000</v>
      </c>
      <c r="U18" s="161">
        <f t="shared" si="25"/>
        <v>16000</v>
      </c>
      <c r="V18" s="161">
        <f t="shared" si="25"/>
        <v>16000</v>
      </c>
    </row>
    <row r="19" spans="1:25" x14ac:dyDescent="0.2">
      <c r="A19" s="50" t="str">
        <f>'M. DE CALCULO DE GASTOS FIJO'!A12</f>
        <v>Permisos y licencias</v>
      </c>
      <c r="B19" s="161">
        <v>400</v>
      </c>
      <c r="C19" s="161">
        <f t="shared" ref="C19:M19" si="26">B19</f>
        <v>400</v>
      </c>
      <c r="D19" s="161">
        <f t="shared" si="26"/>
        <v>400</v>
      </c>
      <c r="E19" s="161">
        <f t="shared" si="26"/>
        <v>400</v>
      </c>
      <c r="F19" s="161">
        <f t="shared" si="26"/>
        <v>400</v>
      </c>
      <c r="G19" s="161">
        <f t="shared" si="26"/>
        <v>400</v>
      </c>
      <c r="H19" s="161">
        <f t="shared" si="26"/>
        <v>400</v>
      </c>
      <c r="I19" s="161">
        <f t="shared" si="26"/>
        <v>400</v>
      </c>
      <c r="J19" s="161">
        <f t="shared" si="26"/>
        <v>400</v>
      </c>
      <c r="K19" s="161">
        <f t="shared" si="26"/>
        <v>400</v>
      </c>
      <c r="L19" s="161">
        <f t="shared" si="26"/>
        <v>400</v>
      </c>
      <c r="M19" s="161">
        <f t="shared" si="26"/>
        <v>400</v>
      </c>
      <c r="N19" s="161">
        <f t="shared" si="21"/>
        <v>4800</v>
      </c>
      <c r="Q19" s="50" t="str">
        <f t="shared" si="23"/>
        <v>Internet / teléfono</v>
      </c>
      <c r="R19" s="161">
        <f t="shared" si="24"/>
        <v>600</v>
      </c>
      <c r="S19" s="161">
        <f t="shared" si="25"/>
        <v>600</v>
      </c>
      <c r="T19" s="161">
        <f t="shared" si="25"/>
        <v>600</v>
      </c>
      <c r="U19" s="161">
        <f t="shared" si="25"/>
        <v>600</v>
      </c>
      <c r="V19" s="161">
        <f t="shared" si="25"/>
        <v>600</v>
      </c>
    </row>
    <row r="20" spans="1:25" x14ac:dyDescent="0.2">
      <c r="A20" s="50" t="str">
        <f>'M. DE CALCULO DE GASTOS FIJO'!A13</f>
        <v>Mantenimiento</v>
      </c>
      <c r="B20" s="161">
        <v>500</v>
      </c>
      <c r="C20" s="161">
        <f t="shared" ref="C20:M20" si="27">B20</f>
        <v>500</v>
      </c>
      <c r="D20" s="161">
        <f t="shared" si="27"/>
        <v>500</v>
      </c>
      <c r="E20" s="161">
        <f t="shared" si="27"/>
        <v>500</v>
      </c>
      <c r="F20" s="161">
        <f t="shared" si="27"/>
        <v>500</v>
      </c>
      <c r="G20" s="161">
        <f t="shared" si="27"/>
        <v>500</v>
      </c>
      <c r="H20" s="161">
        <f t="shared" si="27"/>
        <v>500</v>
      </c>
      <c r="I20" s="161">
        <f t="shared" si="27"/>
        <v>500</v>
      </c>
      <c r="J20" s="161">
        <f t="shared" si="27"/>
        <v>500</v>
      </c>
      <c r="K20" s="161">
        <f t="shared" si="27"/>
        <v>500</v>
      </c>
      <c r="L20" s="161">
        <f t="shared" si="27"/>
        <v>500</v>
      </c>
      <c r="M20" s="161">
        <f t="shared" si="27"/>
        <v>500</v>
      </c>
      <c r="N20" s="161">
        <f t="shared" si="21"/>
        <v>6000</v>
      </c>
      <c r="Q20" s="50" t="str">
        <f t="shared" si="23"/>
        <v>Permisos y licencias</v>
      </c>
      <c r="R20" s="161">
        <f t="shared" si="24"/>
        <v>400</v>
      </c>
      <c r="S20" s="161">
        <f t="shared" si="25"/>
        <v>400</v>
      </c>
      <c r="T20" s="161">
        <f t="shared" si="25"/>
        <v>400</v>
      </c>
      <c r="U20" s="161">
        <f t="shared" si="25"/>
        <v>400</v>
      </c>
      <c r="V20" s="161">
        <f t="shared" si="25"/>
        <v>400</v>
      </c>
    </row>
    <row r="21" spans="1:25" x14ac:dyDescent="0.2">
      <c r="A21" s="50" t="str">
        <f>'M. DE CALCULO DE GASTOS FIJO'!A14</f>
        <v>Depreciaciones</v>
      </c>
      <c r="B21" s="161">
        <v>1500</v>
      </c>
      <c r="C21" s="161">
        <f t="shared" ref="C21:M21" si="28">B21</f>
        <v>1500</v>
      </c>
      <c r="D21" s="161">
        <f t="shared" si="28"/>
        <v>1500</v>
      </c>
      <c r="E21" s="161">
        <f t="shared" si="28"/>
        <v>1500</v>
      </c>
      <c r="F21" s="161">
        <f t="shared" si="28"/>
        <v>1500</v>
      </c>
      <c r="G21" s="161">
        <f t="shared" si="28"/>
        <v>1500</v>
      </c>
      <c r="H21" s="161">
        <f t="shared" si="28"/>
        <v>1500</v>
      </c>
      <c r="I21" s="161">
        <f t="shared" si="28"/>
        <v>1500</v>
      </c>
      <c r="J21" s="161">
        <f t="shared" si="28"/>
        <v>1500</v>
      </c>
      <c r="K21" s="161">
        <f t="shared" si="28"/>
        <v>1500</v>
      </c>
      <c r="L21" s="161">
        <f t="shared" si="28"/>
        <v>1500</v>
      </c>
      <c r="M21" s="161">
        <f t="shared" si="28"/>
        <v>1500</v>
      </c>
      <c r="N21" s="161">
        <f t="shared" si="21"/>
        <v>18000</v>
      </c>
      <c r="Q21" s="50" t="str">
        <f t="shared" si="23"/>
        <v>Mantenimiento</v>
      </c>
      <c r="R21" s="161">
        <f t="shared" si="24"/>
        <v>500</v>
      </c>
      <c r="S21" s="161">
        <f t="shared" si="25"/>
        <v>500</v>
      </c>
      <c r="T21" s="161">
        <f t="shared" si="25"/>
        <v>500</v>
      </c>
      <c r="U21" s="161">
        <f t="shared" si="25"/>
        <v>500</v>
      </c>
      <c r="V21" s="161">
        <f t="shared" si="25"/>
        <v>500</v>
      </c>
    </row>
    <row r="22" spans="1:25" x14ac:dyDescent="0.2">
      <c r="A22" s="50" t="str" cm="1">
        <f t="array" ref="A22:A25">'M. DE CALCULO DE GASTOS FIJO'!A20:A23</f>
        <v>Energía eléctrica (Pago bimestral)</v>
      </c>
      <c r="B22" s="161" cm="1">
        <f t="array" ref="B22:B25">'M. DE CALCULO DE GASTOS FIJO'!E20:E23</f>
        <v>700</v>
      </c>
      <c r="C22" s="161">
        <f t="shared" ref="C22:M22" si="29">B22</f>
        <v>700</v>
      </c>
      <c r="D22" s="161">
        <f t="shared" si="29"/>
        <v>700</v>
      </c>
      <c r="E22" s="161">
        <f t="shared" si="29"/>
        <v>700</v>
      </c>
      <c r="F22" s="161">
        <f t="shared" si="29"/>
        <v>700</v>
      </c>
      <c r="G22" s="161">
        <f t="shared" si="29"/>
        <v>700</v>
      </c>
      <c r="H22" s="161">
        <f t="shared" si="29"/>
        <v>700</v>
      </c>
      <c r="I22" s="161">
        <f t="shared" si="29"/>
        <v>700</v>
      </c>
      <c r="J22" s="161">
        <f t="shared" si="29"/>
        <v>700</v>
      </c>
      <c r="K22" s="161">
        <f t="shared" si="29"/>
        <v>700</v>
      </c>
      <c r="L22" s="161">
        <f t="shared" si="29"/>
        <v>700</v>
      </c>
      <c r="M22" s="161">
        <f t="shared" si="29"/>
        <v>700</v>
      </c>
      <c r="N22" s="161">
        <f t="shared" si="21"/>
        <v>8400</v>
      </c>
      <c r="Q22" s="50" t="str">
        <f t="shared" si="23"/>
        <v>Depreciaciones</v>
      </c>
      <c r="R22" s="161">
        <f t="shared" si="24"/>
        <v>1500</v>
      </c>
      <c r="S22" s="161">
        <f t="shared" si="25"/>
        <v>1500</v>
      </c>
      <c r="T22" s="161">
        <f t="shared" si="25"/>
        <v>1500</v>
      </c>
      <c r="U22" s="161">
        <f t="shared" si="25"/>
        <v>1500</v>
      </c>
      <c r="V22" s="161">
        <f t="shared" si="25"/>
        <v>1500</v>
      </c>
      <c r="Y22" s="11" t="s">
        <v>240</v>
      </c>
    </row>
    <row r="23" spans="1:25" x14ac:dyDescent="0.2">
      <c r="A23" s="50" t="str">
        <v>Agua</v>
      </c>
      <c r="B23" s="161">
        <v>400</v>
      </c>
      <c r="C23" s="161">
        <f t="shared" ref="C23:M23" si="30">B23</f>
        <v>400</v>
      </c>
      <c r="D23" s="161">
        <f t="shared" si="30"/>
        <v>400</v>
      </c>
      <c r="E23" s="161">
        <f t="shared" si="30"/>
        <v>400</v>
      </c>
      <c r="F23" s="161">
        <f t="shared" si="30"/>
        <v>400</v>
      </c>
      <c r="G23" s="161">
        <f t="shared" si="30"/>
        <v>400</v>
      </c>
      <c r="H23" s="161">
        <f t="shared" si="30"/>
        <v>400</v>
      </c>
      <c r="I23" s="161">
        <f t="shared" si="30"/>
        <v>400</v>
      </c>
      <c r="J23" s="161">
        <f t="shared" si="30"/>
        <v>400</v>
      </c>
      <c r="K23" s="161">
        <f t="shared" si="30"/>
        <v>400</v>
      </c>
      <c r="L23" s="161">
        <f t="shared" si="30"/>
        <v>400</v>
      </c>
      <c r="M23" s="161">
        <f t="shared" si="30"/>
        <v>400</v>
      </c>
      <c r="N23" s="161">
        <f t="shared" si="21"/>
        <v>4800</v>
      </c>
      <c r="Q23" s="50" t="str">
        <f t="shared" si="23"/>
        <v>Energía eléctrica (Pago bimestral)</v>
      </c>
      <c r="R23" s="161">
        <f t="shared" si="24"/>
        <v>700</v>
      </c>
      <c r="S23" s="161">
        <f t="shared" si="25"/>
        <v>700</v>
      </c>
      <c r="T23" s="161">
        <f t="shared" si="25"/>
        <v>700</v>
      </c>
      <c r="U23" s="161">
        <f t="shared" si="25"/>
        <v>700</v>
      </c>
      <c r="V23" s="161">
        <f t="shared" si="25"/>
        <v>700</v>
      </c>
    </row>
    <row r="24" spans="1:25" x14ac:dyDescent="0.2">
      <c r="A24" s="50" t="str">
        <v>Gas estacionario</v>
      </c>
      <c r="B24" s="161">
        <v>1200</v>
      </c>
      <c r="C24" s="161">
        <f t="shared" ref="C24:M24" si="31">B24</f>
        <v>1200</v>
      </c>
      <c r="D24" s="161">
        <f t="shared" si="31"/>
        <v>1200</v>
      </c>
      <c r="E24" s="161">
        <f t="shared" si="31"/>
        <v>1200</v>
      </c>
      <c r="F24" s="161">
        <f t="shared" si="31"/>
        <v>1200</v>
      </c>
      <c r="G24" s="161">
        <f t="shared" si="31"/>
        <v>1200</v>
      </c>
      <c r="H24" s="161">
        <f t="shared" si="31"/>
        <v>1200</v>
      </c>
      <c r="I24" s="161">
        <f t="shared" si="31"/>
        <v>1200</v>
      </c>
      <c r="J24" s="161">
        <f t="shared" si="31"/>
        <v>1200</v>
      </c>
      <c r="K24" s="161">
        <f t="shared" si="31"/>
        <v>1200</v>
      </c>
      <c r="L24" s="161">
        <f t="shared" si="31"/>
        <v>1200</v>
      </c>
      <c r="M24" s="161">
        <f t="shared" si="31"/>
        <v>1200</v>
      </c>
      <c r="N24" s="161">
        <f t="shared" si="21"/>
        <v>14400</v>
      </c>
      <c r="Q24" s="50" t="str">
        <f t="shared" si="23"/>
        <v>Agua</v>
      </c>
      <c r="R24" s="161">
        <f t="shared" si="24"/>
        <v>400</v>
      </c>
      <c r="S24" s="161">
        <f t="shared" si="25"/>
        <v>400</v>
      </c>
      <c r="T24" s="161">
        <f t="shared" si="25"/>
        <v>400</v>
      </c>
      <c r="U24" s="161">
        <f t="shared" si="25"/>
        <v>400</v>
      </c>
      <c r="V24" s="161">
        <f t="shared" si="25"/>
        <v>400</v>
      </c>
    </row>
    <row r="25" spans="1:25" x14ac:dyDescent="0.2">
      <c r="A25" s="50" t="str">
        <v>Limpieza / fumigación</v>
      </c>
      <c r="B25" s="161">
        <v>300</v>
      </c>
      <c r="C25" s="161">
        <f t="shared" ref="C25:M25" si="32">B25</f>
        <v>300</v>
      </c>
      <c r="D25" s="161">
        <f t="shared" si="32"/>
        <v>300</v>
      </c>
      <c r="E25" s="161">
        <f t="shared" si="32"/>
        <v>300</v>
      </c>
      <c r="F25" s="161">
        <f t="shared" si="32"/>
        <v>300</v>
      </c>
      <c r="G25" s="161">
        <f t="shared" si="32"/>
        <v>300</v>
      </c>
      <c r="H25" s="161">
        <f t="shared" si="32"/>
        <v>300</v>
      </c>
      <c r="I25" s="161">
        <f t="shared" si="32"/>
        <v>300</v>
      </c>
      <c r="J25" s="161">
        <f t="shared" si="32"/>
        <v>300</v>
      </c>
      <c r="K25" s="161">
        <f t="shared" si="32"/>
        <v>300</v>
      </c>
      <c r="L25" s="161">
        <f t="shared" si="32"/>
        <v>300</v>
      </c>
      <c r="M25" s="161">
        <f t="shared" si="32"/>
        <v>300</v>
      </c>
      <c r="N25" s="161">
        <f t="shared" si="21"/>
        <v>3600</v>
      </c>
      <c r="Q25" s="50" t="str">
        <f t="shared" si="23"/>
        <v>Gas estacionario</v>
      </c>
      <c r="R25" s="161">
        <f t="shared" si="24"/>
        <v>1200</v>
      </c>
      <c r="S25" s="161">
        <f t="shared" si="25"/>
        <v>1200</v>
      </c>
      <c r="T25" s="161">
        <f t="shared" si="25"/>
        <v>1200</v>
      </c>
      <c r="U25" s="161">
        <f t="shared" si="25"/>
        <v>1200</v>
      </c>
      <c r="V25" s="161">
        <f t="shared" si="25"/>
        <v>1200</v>
      </c>
    </row>
    <row r="26" spans="1:25" x14ac:dyDescent="0.2">
      <c r="A26" s="50" t="str" cm="1">
        <f t="array" ref="A26:A33">'M. DE CALCULO DE GASTOS FIJO'!A31:A38</f>
        <v>Mesero</v>
      </c>
      <c r="B26" s="161" cm="1">
        <f t="array" ref="B26:B33">'M. DE CALCULO DE GASTOS FIJO'!E31:E38</f>
        <v>20299.32</v>
      </c>
      <c r="C26" s="161">
        <f t="shared" ref="C26:M26" si="33">B26</f>
        <v>20299.32</v>
      </c>
      <c r="D26" s="161">
        <f t="shared" si="33"/>
        <v>20299.32</v>
      </c>
      <c r="E26" s="161">
        <f t="shared" si="33"/>
        <v>20299.32</v>
      </c>
      <c r="F26" s="161">
        <f t="shared" si="33"/>
        <v>20299.32</v>
      </c>
      <c r="G26" s="161">
        <f t="shared" si="33"/>
        <v>20299.32</v>
      </c>
      <c r="H26" s="161">
        <f t="shared" si="33"/>
        <v>20299.32</v>
      </c>
      <c r="I26" s="161">
        <f t="shared" si="33"/>
        <v>20299.32</v>
      </c>
      <c r="J26" s="161">
        <f t="shared" si="33"/>
        <v>20299.32</v>
      </c>
      <c r="K26" s="161">
        <f t="shared" si="33"/>
        <v>20299.32</v>
      </c>
      <c r="L26" s="161">
        <f t="shared" si="33"/>
        <v>20299.32</v>
      </c>
      <c r="M26" s="161">
        <f t="shared" si="33"/>
        <v>20299.32</v>
      </c>
      <c r="N26" s="161">
        <f t="shared" si="21"/>
        <v>243591.84000000005</v>
      </c>
      <c r="Q26" s="50" t="str">
        <f t="shared" si="23"/>
        <v>Limpieza / fumigación</v>
      </c>
      <c r="R26" s="161">
        <f t="shared" si="24"/>
        <v>300</v>
      </c>
      <c r="S26" s="161">
        <f t="shared" si="25"/>
        <v>300</v>
      </c>
      <c r="T26" s="161">
        <f t="shared" si="25"/>
        <v>300</v>
      </c>
      <c r="U26" s="161">
        <f t="shared" si="25"/>
        <v>300</v>
      </c>
      <c r="V26" s="161">
        <f t="shared" si="25"/>
        <v>300</v>
      </c>
    </row>
    <row r="27" spans="1:25" x14ac:dyDescent="0.2">
      <c r="A27" s="50" t="str">
        <v>Verduras, ensaladas y guarniciones</v>
      </c>
      <c r="B27" s="161">
        <v>6348.32</v>
      </c>
      <c r="C27" s="161">
        <f t="shared" ref="C27:M27" si="34">B27</f>
        <v>6348.32</v>
      </c>
      <c r="D27" s="161">
        <f t="shared" si="34"/>
        <v>6348.32</v>
      </c>
      <c r="E27" s="161">
        <f t="shared" si="34"/>
        <v>6348.32</v>
      </c>
      <c r="F27" s="161">
        <f t="shared" si="34"/>
        <v>6348.32</v>
      </c>
      <c r="G27" s="161">
        <f t="shared" si="34"/>
        <v>6348.32</v>
      </c>
      <c r="H27" s="161">
        <f t="shared" si="34"/>
        <v>6348.32</v>
      </c>
      <c r="I27" s="161">
        <f t="shared" si="34"/>
        <v>6348.32</v>
      </c>
      <c r="J27" s="161">
        <f t="shared" si="34"/>
        <v>6348.32</v>
      </c>
      <c r="K27" s="161">
        <f t="shared" si="34"/>
        <v>6348.32</v>
      </c>
      <c r="L27" s="161">
        <f t="shared" si="34"/>
        <v>6348.32</v>
      </c>
      <c r="M27" s="161">
        <f t="shared" si="34"/>
        <v>6348.32</v>
      </c>
      <c r="N27" s="161">
        <f t="shared" si="21"/>
        <v>76179.839999999997</v>
      </c>
      <c r="Q27" s="50" t="str">
        <f t="shared" si="23"/>
        <v>Mesero</v>
      </c>
      <c r="R27" s="161">
        <f t="shared" si="24"/>
        <v>20299.32</v>
      </c>
      <c r="S27" s="161">
        <f t="shared" si="25"/>
        <v>20299.32</v>
      </c>
      <c r="T27" s="161">
        <f t="shared" si="25"/>
        <v>20299.32</v>
      </c>
      <c r="U27" s="161">
        <f t="shared" si="25"/>
        <v>20299.32</v>
      </c>
      <c r="V27" s="161">
        <f t="shared" si="25"/>
        <v>20299.32</v>
      </c>
    </row>
    <row r="28" spans="1:25" x14ac:dyDescent="0.2">
      <c r="A28" s="50" t="str">
        <v>Salsas y Járabes</v>
      </c>
      <c r="B28" s="161">
        <v>6348.32</v>
      </c>
      <c r="C28" s="161">
        <f t="shared" ref="C28:M28" si="35">B28</f>
        <v>6348.32</v>
      </c>
      <c r="D28" s="161">
        <f t="shared" si="35"/>
        <v>6348.32</v>
      </c>
      <c r="E28" s="161">
        <f t="shared" si="35"/>
        <v>6348.32</v>
      </c>
      <c r="F28" s="161">
        <f t="shared" si="35"/>
        <v>6348.32</v>
      </c>
      <c r="G28" s="161">
        <f t="shared" si="35"/>
        <v>6348.32</v>
      </c>
      <c r="H28" s="161">
        <f t="shared" si="35"/>
        <v>6348.32</v>
      </c>
      <c r="I28" s="161">
        <f t="shared" si="35"/>
        <v>6348.32</v>
      </c>
      <c r="J28" s="161">
        <f t="shared" si="35"/>
        <v>6348.32</v>
      </c>
      <c r="K28" s="161">
        <f t="shared" si="35"/>
        <v>6348.32</v>
      </c>
      <c r="L28" s="161">
        <f t="shared" si="35"/>
        <v>6348.32</v>
      </c>
      <c r="M28" s="161">
        <f t="shared" si="35"/>
        <v>6348.32</v>
      </c>
      <c r="N28" s="161">
        <f t="shared" si="21"/>
        <v>76179.839999999997</v>
      </c>
      <c r="Q28" s="50" t="str">
        <f t="shared" si="23"/>
        <v>Verduras, ensaladas y guarniciones</v>
      </c>
      <c r="R28" s="161">
        <f t="shared" si="24"/>
        <v>6348.32</v>
      </c>
      <c r="S28" s="161">
        <f t="shared" si="25"/>
        <v>6348.32</v>
      </c>
      <c r="T28" s="161">
        <f t="shared" si="25"/>
        <v>6348.32</v>
      </c>
      <c r="U28" s="161">
        <f t="shared" si="25"/>
        <v>6348.32</v>
      </c>
      <c r="V28" s="161">
        <f t="shared" si="25"/>
        <v>6348.32</v>
      </c>
    </row>
    <row r="29" spans="1:25" x14ac:dyDescent="0.2">
      <c r="A29" s="50" t="str">
        <v>Coordinador de parrilla</v>
      </c>
      <c r="B29" s="161">
        <v>11106.76</v>
      </c>
      <c r="C29" s="161">
        <f t="shared" ref="C29:M29" si="36">B29</f>
        <v>11106.76</v>
      </c>
      <c r="D29" s="161">
        <f t="shared" si="36"/>
        <v>11106.76</v>
      </c>
      <c r="E29" s="161">
        <f t="shared" si="36"/>
        <v>11106.76</v>
      </c>
      <c r="F29" s="161">
        <f t="shared" si="36"/>
        <v>11106.76</v>
      </c>
      <c r="G29" s="161">
        <f t="shared" si="36"/>
        <v>11106.76</v>
      </c>
      <c r="H29" s="161">
        <f t="shared" si="36"/>
        <v>11106.76</v>
      </c>
      <c r="I29" s="161">
        <f t="shared" si="36"/>
        <v>11106.76</v>
      </c>
      <c r="J29" s="161">
        <f t="shared" si="36"/>
        <v>11106.76</v>
      </c>
      <c r="K29" s="161">
        <f t="shared" si="36"/>
        <v>11106.76</v>
      </c>
      <c r="L29" s="161">
        <f t="shared" si="36"/>
        <v>11106.76</v>
      </c>
      <c r="M29" s="161">
        <f t="shared" si="36"/>
        <v>11106.76</v>
      </c>
      <c r="N29" s="161">
        <f t="shared" si="21"/>
        <v>133281.11999999997</v>
      </c>
      <c r="Q29" s="50" t="str">
        <f t="shared" si="23"/>
        <v>Salsas y Járabes</v>
      </c>
      <c r="R29" s="161">
        <f t="shared" si="24"/>
        <v>6348.32</v>
      </c>
      <c r="S29" s="161">
        <f t="shared" si="25"/>
        <v>6348.32</v>
      </c>
      <c r="T29" s="161">
        <f t="shared" si="25"/>
        <v>6348.32</v>
      </c>
      <c r="U29" s="161">
        <f t="shared" si="25"/>
        <v>6348.32</v>
      </c>
      <c r="V29" s="161">
        <f t="shared" si="25"/>
        <v>6348.32</v>
      </c>
    </row>
    <row r="30" spans="1:25" x14ac:dyDescent="0.2">
      <c r="A30" s="50" t="str">
        <v>Parrillero plancha</v>
      </c>
      <c r="B30" s="161">
        <v>8895</v>
      </c>
      <c r="C30" s="161">
        <f t="shared" ref="C30:M30" si="37">B30</f>
        <v>8895</v>
      </c>
      <c r="D30" s="161">
        <f t="shared" si="37"/>
        <v>8895</v>
      </c>
      <c r="E30" s="161">
        <f t="shared" si="37"/>
        <v>8895</v>
      </c>
      <c r="F30" s="161">
        <f t="shared" si="37"/>
        <v>8895</v>
      </c>
      <c r="G30" s="161">
        <f t="shared" si="37"/>
        <v>8895</v>
      </c>
      <c r="H30" s="161">
        <f t="shared" si="37"/>
        <v>8895</v>
      </c>
      <c r="I30" s="161">
        <f t="shared" si="37"/>
        <v>8895</v>
      </c>
      <c r="J30" s="161">
        <f t="shared" si="37"/>
        <v>8895</v>
      </c>
      <c r="K30" s="161">
        <f t="shared" si="37"/>
        <v>8895</v>
      </c>
      <c r="L30" s="161">
        <f t="shared" si="37"/>
        <v>8895</v>
      </c>
      <c r="M30" s="161">
        <f t="shared" si="37"/>
        <v>8895</v>
      </c>
      <c r="N30" s="161">
        <f t="shared" si="21"/>
        <v>106740</v>
      </c>
      <c r="Q30" s="50" t="str">
        <f t="shared" si="23"/>
        <v>Coordinador de parrilla</v>
      </c>
      <c r="R30" s="161">
        <f t="shared" si="24"/>
        <v>11106.76</v>
      </c>
      <c r="S30" s="161">
        <f t="shared" si="25"/>
        <v>11106.76</v>
      </c>
      <c r="T30" s="161">
        <f t="shared" si="25"/>
        <v>11106.76</v>
      </c>
      <c r="U30" s="161">
        <f t="shared" si="25"/>
        <v>11106.76</v>
      </c>
      <c r="V30" s="161">
        <f t="shared" si="25"/>
        <v>11106.76</v>
      </c>
    </row>
    <row r="31" spans="1:25" x14ac:dyDescent="0.2">
      <c r="A31" s="50" t="str">
        <v>Parrillero vapor</v>
      </c>
      <c r="B31" s="161">
        <v>7862.36</v>
      </c>
      <c r="C31" s="161">
        <f t="shared" ref="C31:M31" si="38">B31</f>
        <v>7862.36</v>
      </c>
      <c r="D31" s="161">
        <f t="shared" si="38"/>
        <v>7862.36</v>
      </c>
      <c r="E31" s="161">
        <f t="shared" si="38"/>
        <v>7862.36</v>
      </c>
      <c r="F31" s="161">
        <f t="shared" si="38"/>
        <v>7862.36</v>
      </c>
      <c r="G31" s="161">
        <f t="shared" si="38"/>
        <v>7862.36</v>
      </c>
      <c r="H31" s="161">
        <f t="shared" si="38"/>
        <v>7862.36</v>
      </c>
      <c r="I31" s="161">
        <f t="shared" si="38"/>
        <v>7862.36</v>
      </c>
      <c r="J31" s="161">
        <f t="shared" si="38"/>
        <v>7862.36</v>
      </c>
      <c r="K31" s="161">
        <f t="shared" si="38"/>
        <v>7862.36</v>
      </c>
      <c r="L31" s="161">
        <f t="shared" si="38"/>
        <v>7862.36</v>
      </c>
      <c r="M31" s="161">
        <f t="shared" si="38"/>
        <v>7862.36</v>
      </c>
      <c r="N31" s="161">
        <f t="shared" si="21"/>
        <v>94348.319999999992</v>
      </c>
      <c r="Q31" s="50" t="str">
        <f t="shared" si="23"/>
        <v>Parrillero plancha</v>
      </c>
      <c r="R31" s="161">
        <f t="shared" si="24"/>
        <v>8895</v>
      </c>
      <c r="S31" s="161">
        <f t="shared" si="25"/>
        <v>8895</v>
      </c>
      <c r="T31" s="161">
        <f t="shared" si="25"/>
        <v>8895</v>
      </c>
      <c r="U31" s="161">
        <f t="shared" si="25"/>
        <v>8895</v>
      </c>
      <c r="V31" s="161">
        <f t="shared" si="25"/>
        <v>8895</v>
      </c>
    </row>
    <row r="32" spans="1:25" x14ac:dyDescent="0.2">
      <c r="A32" s="50" t="str">
        <v>Pastorero</v>
      </c>
      <c r="B32" s="161">
        <v>8895</v>
      </c>
      <c r="C32" s="161">
        <f t="shared" ref="C32:M32" si="39">B32</f>
        <v>8895</v>
      </c>
      <c r="D32" s="161">
        <f t="shared" si="39"/>
        <v>8895</v>
      </c>
      <c r="E32" s="161">
        <f t="shared" si="39"/>
        <v>8895</v>
      </c>
      <c r="F32" s="161">
        <f t="shared" si="39"/>
        <v>8895</v>
      </c>
      <c r="G32" s="161">
        <f t="shared" si="39"/>
        <v>8895</v>
      </c>
      <c r="H32" s="161">
        <f t="shared" si="39"/>
        <v>8895</v>
      </c>
      <c r="I32" s="161">
        <f t="shared" si="39"/>
        <v>8895</v>
      </c>
      <c r="J32" s="161">
        <f t="shared" si="39"/>
        <v>8895</v>
      </c>
      <c r="K32" s="161">
        <f t="shared" si="39"/>
        <v>8895</v>
      </c>
      <c r="L32" s="161">
        <f t="shared" si="39"/>
        <v>8895</v>
      </c>
      <c r="M32" s="161">
        <f t="shared" si="39"/>
        <v>8895</v>
      </c>
      <c r="N32" s="161">
        <f t="shared" si="21"/>
        <v>106740</v>
      </c>
      <c r="Q32" s="50" t="str">
        <f t="shared" si="23"/>
        <v>Parrillero vapor</v>
      </c>
      <c r="R32" s="161">
        <f t="shared" si="24"/>
        <v>7862.36</v>
      </c>
      <c r="S32" s="161">
        <f t="shared" si="25"/>
        <v>7862.36</v>
      </c>
      <c r="T32" s="161">
        <f t="shared" si="25"/>
        <v>7862.36</v>
      </c>
      <c r="U32" s="161">
        <f t="shared" si="25"/>
        <v>7862.36</v>
      </c>
      <c r="V32" s="161">
        <f t="shared" si="25"/>
        <v>7862.36</v>
      </c>
    </row>
    <row r="33" spans="1:22" x14ac:dyDescent="0.2">
      <c r="A33" s="50" t="str">
        <v>Lavatrastes</v>
      </c>
      <c r="B33" s="161">
        <v>6348.32</v>
      </c>
      <c r="C33" s="161">
        <f t="shared" ref="C33:M33" si="40">B33</f>
        <v>6348.32</v>
      </c>
      <c r="D33" s="161">
        <f t="shared" si="40"/>
        <v>6348.32</v>
      </c>
      <c r="E33" s="161">
        <f t="shared" si="40"/>
        <v>6348.32</v>
      </c>
      <c r="F33" s="161">
        <f t="shared" si="40"/>
        <v>6348.32</v>
      </c>
      <c r="G33" s="161">
        <f t="shared" si="40"/>
        <v>6348.32</v>
      </c>
      <c r="H33" s="161">
        <f t="shared" si="40"/>
        <v>6348.32</v>
      </c>
      <c r="I33" s="161">
        <f t="shared" si="40"/>
        <v>6348.32</v>
      </c>
      <c r="J33" s="161">
        <f t="shared" si="40"/>
        <v>6348.32</v>
      </c>
      <c r="K33" s="161">
        <f t="shared" si="40"/>
        <v>6348.32</v>
      </c>
      <c r="L33" s="161">
        <f t="shared" si="40"/>
        <v>6348.32</v>
      </c>
      <c r="M33" s="161">
        <f t="shared" si="40"/>
        <v>6348.32</v>
      </c>
      <c r="N33" s="161">
        <f t="shared" si="21"/>
        <v>76179.839999999997</v>
      </c>
      <c r="Q33" s="50" t="str">
        <f t="shared" si="23"/>
        <v>Pastorero</v>
      </c>
      <c r="R33" s="161">
        <f t="shared" si="24"/>
        <v>8895</v>
      </c>
      <c r="S33" s="161">
        <f t="shared" si="25"/>
        <v>8895</v>
      </c>
      <c r="T33" s="161">
        <f t="shared" si="25"/>
        <v>8895</v>
      </c>
      <c r="U33" s="161">
        <f t="shared" si="25"/>
        <v>8895</v>
      </c>
      <c r="V33" s="161">
        <f t="shared" si="25"/>
        <v>8895</v>
      </c>
    </row>
    <row r="34" spans="1:22" x14ac:dyDescent="0.2">
      <c r="A34" s="50" t="str" cm="1">
        <f t="array" ref="A34:A39">'M. DE CALCULO DE GASTOS FIJO'!A40:A45</f>
        <v>Gerente general</v>
      </c>
      <c r="B34" s="161" cm="1">
        <f t="array" ref="B34:B39">'M. DE CALCULO DE GASTOS FIJO'!E40:E45</f>
        <v>17263.96</v>
      </c>
      <c r="C34" s="161">
        <f t="shared" ref="C34:M34" si="41">B34</f>
        <v>17263.96</v>
      </c>
      <c r="D34" s="161">
        <f t="shared" si="41"/>
        <v>17263.96</v>
      </c>
      <c r="E34" s="161">
        <f t="shared" si="41"/>
        <v>17263.96</v>
      </c>
      <c r="F34" s="161">
        <f t="shared" si="41"/>
        <v>17263.96</v>
      </c>
      <c r="G34" s="161">
        <f t="shared" si="41"/>
        <v>17263.96</v>
      </c>
      <c r="H34" s="161">
        <f t="shared" si="41"/>
        <v>17263.96</v>
      </c>
      <c r="I34" s="161">
        <f t="shared" si="41"/>
        <v>17263.96</v>
      </c>
      <c r="J34" s="161">
        <f t="shared" si="41"/>
        <v>17263.96</v>
      </c>
      <c r="K34" s="161">
        <f t="shared" si="41"/>
        <v>17263.96</v>
      </c>
      <c r="L34" s="161">
        <f t="shared" si="41"/>
        <v>17263.96</v>
      </c>
      <c r="M34" s="161">
        <f t="shared" si="41"/>
        <v>17263.96</v>
      </c>
      <c r="N34" s="161">
        <f t="shared" si="21"/>
        <v>207167.51999999993</v>
      </c>
      <c r="Q34" s="50" t="str">
        <f t="shared" si="23"/>
        <v>Lavatrastes</v>
      </c>
      <c r="R34" s="161">
        <f t="shared" si="24"/>
        <v>6348.32</v>
      </c>
      <c r="S34" s="161">
        <f t="shared" si="25"/>
        <v>6348.32</v>
      </c>
      <c r="T34" s="161">
        <f t="shared" si="25"/>
        <v>6348.32</v>
      </c>
      <c r="U34" s="161">
        <f t="shared" si="25"/>
        <v>6348.32</v>
      </c>
      <c r="V34" s="161">
        <f t="shared" si="25"/>
        <v>6348.32</v>
      </c>
    </row>
    <row r="35" spans="1:22" x14ac:dyDescent="0.2">
      <c r="A35" s="50" t="str">
        <v>Asesor</v>
      </c>
      <c r="B35" s="161">
        <v>17204.32</v>
      </c>
      <c r="C35" s="161">
        <f t="shared" ref="C35:M35" si="42">B35</f>
        <v>17204.32</v>
      </c>
      <c r="D35" s="161">
        <f t="shared" si="42"/>
        <v>17204.32</v>
      </c>
      <c r="E35" s="161">
        <f t="shared" si="42"/>
        <v>17204.32</v>
      </c>
      <c r="F35" s="161">
        <f t="shared" si="42"/>
        <v>17204.32</v>
      </c>
      <c r="G35" s="161">
        <f t="shared" si="42"/>
        <v>17204.32</v>
      </c>
      <c r="H35" s="161">
        <f t="shared" si="42"/>
        <v>17204.32</v>
      </c>
      <c r="I35" s="161">
        <f t="shared" si="42"/>
        <v>17204.32</v>
      </c>
      <c r="J35" s="161">
        <f t="shared" si="42"/>
        <v>17204.32</v>
      </c>
      <c r="K35" s="161">
        <f t="shared" si="42"/>
        <v>17204.32</v>
      </c>
      <c r="L35" s="161">
        <f t="shared" si="42"/>
        <v>17204.32</v>
      </c>
      <c r="M35" s="161">
        <f t="shared" si="42"/>
        <v>17204.32</v>
      </c>
      <c r="N35" s="161">
        <f t="shared" si="21"/>
        <v>206451.84000000005</v>
      </c>
      <c r="Q35" s="50" t="str">
        <f t="shared" si="23"/>
        <v>Gerente general</v>
      </c>
      <c r="R35" s="161">
        <f t="shared" si="24"/>
        <v>17263.96</v>
      </c>
      <c r="S35" s="161">
        <f t="shared" si="25"/>
        <v>17263.96</v>
      </c>
      <c r="T35" s="161">
        <f t="shared" si="25"/>
        <v>17263.96</v>
      </c>
      <c r="U35" s="161">
        <f t="shared" si="25"/>
        <v>17263.96</v>
      </c>
      <c r="V35" s="161">
        <f t="shared" si="25"/>
        <v>17263.96</v>
      </c>
    </row>
    <row r="36" spans="1:22" x14ac:dyDescent="0.2">
      <c r="A36" s="50" t="str">
        <v>Cajero</v>
      </c>
      <c r="B36" s="161">
        <v>8377.56</v>
      </c>
      <c r="C36" s="161">
        <f t="shared" ref="C36:M36" si="43">B36</f>
        <v>8377.56</v>
      </c>
      <c r="D36" s="161">
        <f t="shared" si="43"/>
        <v>8377.56</v>
      </c>
      <c r="E36" s="161">
        <f t="shared" si="43"/>
        <v>8377.56</v>
      </c>
      <c r="F36" s="161">
        <f t="shared" si="43"/>
        <v>8377.56</v>
      </c>
      <c r="G36" s="161">
        <f t="shared" si="43"/>
        <v>8377.56</v>
      </c>
      <c r="H36" s="161">
        <f t="shared" si="43"/>
        <v>8377.56</v>
      </c>
      <c r="I36" s="161">
        <f t="shared" si="43"/>
        <v>8377.56</v>
      </c>
      <c r="J36" s="161">
        <f t="shared" si="43"/>
        <v>8377.56</v>
      </c>
      <c r="K36" s="161">
        <f t="shared" si="43"/>
        <v>8377.56</v>
      </c>
      <c r="L36" s="161">
        <f t="shared" si="43"/>
        <v>8377.56</v>
      </c>
      <c r="M36" s="161">
        <f t="shared" si="43"/>
        <v>8377.56</v>
      </c>
      <c r="N36" s="161">
        <f t="shared" si="21"/>
        <v>100530.71999999999</v>
      </c>
      <c r="Q36" s="50" t="str">
        <f t="shared" si="23"/>
        <v>Asesor</v>
      </c>
      <c r="R36" s="161">
        <f t="shared" si="24"/>
        <v>17204.32</v>
      </c>
      <c r="S36" s="161">
        <f t="shared" si="25"/>
        <v>17204.32</v>
      </c>
      <c r="T36" s="161">
        <f t="shared" si="25"/>
        <v>17204.32</v>
      </c>
      <c r="U36" s="161">
        <f t="shared" si="25"/>
        <v>17204.32</v>
      </c>
      <c r="V36" s="161">
        <f t="shared" si="25"/>
        <v>17204.32</v>
      </c>
    </row>
    <row r="37" spans="1:22" x14ac:dyDescent="0.2">
      <c r="A37" s="50" t="str">
        <v>Contador</v>
      </c>
      <c r="B37" s="161">
        <v>14594.56</v>
      </c>
      <c r="C37" s="161">
        <f t="shared" ref="C37:M37" si="44">B37</f>
        <v>14594.56</v>
      </c>
      <c r="D37" s="161">
        <f t="shared" si="44"/>
        <v>14594.56</v>
      </c>
      <c r="E37" s="161">
        <f t="shared" si="44"/>
        <v>14594.56</v>
      </c>
      <c r="F37" s="161">
        <f t="shared" si="44"/>
        <v>14594.56</v>
      </c>
      <c r="G37" s="161">
        <f t="shared" si="44"/>
        <v>14594.56</v>
      </c>
      <c r="H37" s="161">
        <f t="shared" si="44"/>
        <v>14594.56</v>
      </c>
      <c r="I37" s="161">
        <f t="shared" si="44"/>
        <v>14594.56</v>
      </c>
      <c r="J37" s="161">
        <f t="shared" si="44"/>
        <v>14594.56</v>
      </c>
      <c r="K37" s="161">
        <f t="shared" si="44"/>
        <v>14594.56</v>
      </c>
      <c r="L37" s="161">
        <f t="shared" si="44"/>
        <v>14594.56</v>
      </c>
      <c r="M37" s="161">
        <f t="shared" si="44"/>
        <v>14594.56</v>
      </c>
      <c r="N37" s="161">
        <f t="shared" si="21"/>
        <v>175134.72</v>
      </c>
      <c r="Q37" s="50" t="str">
        <f t="shared" si="23"/>
        <v>Cajero</v>
      </c>
      <c r="R37" s="161">
        <f t="shared" si="24"/>
        <v>8377.56</v>
      </c>
      <c r="S37" s="161">
        <f t="shared" si="25"/>
        <v>8377.56</v>
      </c>
      <c r="T37" s="161">
        <f t="shared" si="25"/>
        <v>8377.56</v>
      </c>
      <c r="U37" s="161">
        <f t="shared" si="25"/>
        <v>8377.56</v>
      </c>
      <c r="V37" s="161">
        <f t="shared" si="25"/>
        <v>8377.56</v>
      </c>
    </row>
    <row r="38" spans="1:22" x14ac:dyDescent="0.2">
      <c r="A38" s="50" t="str">
        <v>Compras</v>
      </c>
      <c r="B38" s="161">
        <v>15899.44</v>
      </c>
      <c r="C38" s="161">
        <f t="shared" ref="C38:M38" si="45">B38</f>
        <v>15899.44</v>
      </c>
      <c r="D38" s="161">
        <f t="shared" si="45"/>
        <v>15899.44</v>
      </c>
      <c r="E38" s="161">
        <f t="shared" si="45"/>
        <v>15899.44</v>
      </c>
      <c r="F38" s="161">
        <f t="shared" si="45"/>
        <v>15899.44</v>
      </c>
      <c r="G38" s="161">
        <f t="shared" si="45"/>
        <v>15899.44</v>
      </c>
      <c r="H38" s="161">
        <f t="shared" si="45"/>
        <v>15899.44</v>
      </c>
      <c r="I38" s="161">
        <f t="shared" si="45"/>
        <v>15899.44</v>
      </c>
      <c r="J38" s="161">
        <f t="shared" si="45"/>
        <v>15899.44</v>
      </c>
      <c r="K38" s="161">
        <f t="shared" si="45"/>
        <v>15899.44</v>
      </c>
      <c r="L38" s="161">
        <f t="shared" si="45"/>
        <v>15899.44</v>
      </c>
      <c r="M38" s="161">
        <f t="shared" si="45"/>
        <v>15899.44</v>
      </c>
      <c r="N38" s="161">
        <f t="shared" si="21"/>
        <v>190793.28</v>
      </c>
      <c r="Q38" s="50" t="str">
        <f t="shared" si="23"/>
        <v>Contador</v>
      </c>
      <c r="R38" s="161">
        <f t="shared" si="24"/>
        <v>14594.56</v>
      </c>
      <c r="S38" s="161">
        <f t="shared" ref="S38:V53" si="46">R38</f>
        <v>14594.56</v>
      </c>
      <c r="T38" s="161">
        <f t="shared" si="46"/>
        <v>14594.56</v>
      </c>
      <c r="U38" s="161">
        <f t="shared" si="46"/>
        <v>14594.56</v>
      </c>
      <c r="V38" s="161">
        <f t="shared" si="46"/>
        <v>14594.56</v>
      </c>
    </row>
    <row r="39" spans="1:22" x14ac:dyDescent="0.2">
      <c r="A39" s="50" t="str">
        <v>Supervisor de envios y calidad</v>
      </c>
      <c r="B39" s="161">
        <v>11984.84</v>
      </c>
      <c r="C39" s="161">
        <f t="shared" ref="C39:M39" si="47">B39</f>
        <v>11984.84</v>
      </c>
      <c r="D39" s="161">
        <f t="shared" si="47"/>
        <v>11984.84</v>
      </c>
      <c r="E39" s="161">
        <f t="shared" si="47"/>
        <v>11984.84</v>
      </c>
      <c r="F39" s="161">
        <f t="shared" si="47"/>
        <v>11984.84</v>
      </c>
      <c r="G39" s="161">
        <f t="shared" si="47"/>
        <v>11984.84</v>
      </c>
      <c r="H39" s="161">
        <f t="shared" si="47"/>
        <v>11984.84</v>
      </c>
      <c r="I39" s="161">
        <f t="shared" si="47"/>
        <v>11984.84</v>
      </c>
      <c r="J39" s="161">
        <f t="shared" si="47"/>
        <v>11984.84</v>
      </c>
      <c r="K39" s="161">
        <f t="shared" si="47"/>
        <v>11984.84</v>
      </c>
      <c r="L39" s="161">
        <f t="shared" si="47"/>
        <v>11984.84</v>
      </c>
      <c r="M39" s="161">
        <f t="shared" si="47"/>
        <v>11984.84</v>
      </c>
      <c r="N39" s="161">
        <f t="shared" si="21"/>
        <v>143818.07999999999</v>
      </c>
      <c r="Q39" s="50" t="str">
        <f t="shared" si="23"/>
        <v>Compras</v>
      </c>
      <c r="R39" s="161">
        <f t="shared" si="24"/>
        <v>15899.44</v>
      </c>
      <c r="S39" s="161">
        <f t="shared" si="46"/>
        <v>15899.44</v>
      </c>
      <c r="T39" s="161">
        <f t="shared" si="46"/>
        <v>15899.44</v>
      </c>
      <c r="U39" s="161">
        <f t="shared" si="46"/>
        <v>15899.44</v>
      </c>
      <c r="V39" s="161">
        <f t="shared" si="46"/>
        <v>15899.44</v>
      </c>
    </row>
    <row r="40" spans="1:22" x14ac:dyDescent="0.2">
      <c r="A40" s="50" t="str" cm="1">
        <f t="array" ref="A40:A44">'M. DE CALCULO DE GASTOS FIJO'!A47:A51</f>
        <v>Seguro social (IMSS)</v>
      </c>
      <c r="B40" s="161" cm="1">
        <f t="array" ref="B40:B44">'M. DE CALCULO DE GASTOS FIJO'!E47:E51</f>
        <v>3076</v>
      </c>
      <c r="C40" s="161">
        <f t="shared" ref="C40:M40" si="48">B40</f>
        <v>3076</v>
      </c>
      <c r="D40" s="161">
        <f t="shared" si="48"/>
        <v>3076</v>
      </c>
      <c r="E40" s="161">
        <f t="shared" si="48"/>
        <v>3076</v>
      </c>
      <c r="F40" s="161">
        <f t="shared" si="48"/>
        <v>3076</v>
      </c>
      <c r="G40" s="161">
        <f t="shared" si="48"/>
        <v>3076</v>
      </c>
      <c r="H40" s="161">
        <f t="shared" si="48"/>
        <v>3076</v>
      </c>
      <c r="I40" s="161">
        <f t="shared" si="48"/>
        <v>3076</v>
      </c>
      <c r="J40" s="161">
        <f t="shared" si="48"/>
        <v>3076</v>
      </c>
      <c r="K40" s="161">
        <f t="shared" si="48"/>
        <v>3076</v>
      </c>
      <c r="L40" s="161">
        <f t="shared" si="48"/>
        <v>3076</v>
      </c>
      <c r="M40" s="161">
        <f t="shared" si="48"/>
        <v>3076</v>
      </c>
      <c r="N40" s="161">
        <f t="shared" si="21"/>
        <v>36912</v>
      </c>
      <c r="Q40" s="50" t="str">
        <f t="shared" si="23"/>
        <v>Supervisor de envios y calidad</v>
      </c>
      <c r="R40" s="161">
        <f t="shared" si="24"/>
        <v>11984.84</v>
      </c>
      <c r="S40" s="161">
        <f t="shared" si="46"/>
        <v>11984.84</v>
      </c>
      <c r="T40" s="161">
        <f t="shared" si="46"/>
        <v>11984.84</v>
      </c>
      <c r="U40" s="161">
        <f t="shared" si="46"/>
        <v>11984.84</v>
      </c>
      <c r="V40" s="161">
        <f t="shared" si="46"/>
        <v>11984.84</v>
      </c>
    </row>
    <row r="41" spans="1:22" x14ac:dyDescent="0.2">
      <c r="A41" s="50" t="str">
        <v>INFONAVIT</v>
      </c>
      <c r="B41" s="161">
        <v>20318.376096</v>
      </c>
      <c r="C41" s="161">
        <f t="shared" ref="C41:M41" si="49">B41</f>
        <v>20318.376096</v>
      </c>
      <c r="D41" s="161">
        <f t="shared" si="49"/>
        <v>20318.376096</v>
      </c>
      <c r="E41" s="161">
        <f t="shared" si="49"/>
        <v>20318.376096</v>
      </c>
      <c r="F41" s="161">
        <f t="shared" si="49"/>
        <v>20318.376096</v>
      </c>
      <c r="G41" s="161">
        <f t="shared" si="49"/>
        <v>20318.376096</v>
      </c>
      <c r="H41" s="161">
        <f t="shared" si="49"/>
        <v>20318.376096</v>
      </c>
      <c r="I41" s="161">
        <f t="shared" si="49"/>
        <v>20318.376096</v>
      </c>
      <c r="J41" s="161">
        <f t="shared" si="49"/>
        <v>20318.376096</v>
      </c>
      <c r="K41" s="161">
        <f t="shared" si="49"/>
        <v>20318.376096</v>
      </c>
      <c r="L41" s="161">
        <f t="shared" si="49"/>
        <v>20318.376096</v>
      </c>
      <c r="M41" s="161">
        <f t="shared" si="49"/>
        <v>20318.376096</v>
      </c>
      <c r="N41" s="161">
        <f t="shared" si="21"/>
        <v>243820.51315199994</v>
      </c>
      <c r="Q41" s="50" t="str">
        <f t="shared" si="23"/>
        <v>Seguro social (IMSS)</v>
      </c>
      <c r="R41" s="161">
        <f t="shared" si="24"/>
        <v>3076</v>
      </c>
      <c r="S41" s="161">
        <f t="shared" si="46"/>
        <v>3076</v>
      </c>
      <c r="T41" s="161">
        <f t="shared" si="46"/>
        <v>3076</v>
      </c>
      <c r="U41" s="161">
        <f t="shared" si="46"/>
        <v>3076</v>
      </c>
      <c r="V41" s="161">
        <f t="shared" si="46"/>
        <v>3076</v>
      </c>
    </row>
    <row r="42" spans="1:22" x14ac:dyDescent="0.2">
      <c r="A42" s="50" t="str">
        <v>Seguro de retiro y cesantía</v>
      </c>
      <c r="B42" s="161">
        <v>17372.16</v>
      </c>
      <c r="C42" s="161">
        <f t="shared" ref="C42:M42" si="50">B42</f>
        <v>17372.16</v>
      </c>
      <c r="D42" s="161">
        <f t="shared" si="50"/>
        <v>17372.16</v>
      </c>
      <c r="E42" s="161">
        <f t="shared" si="50"/>
        <v>17372.16</v>
      </c>
      <c r="F42" s="161">
        <f t="shared" si="50"/>
        <v>17372.16</v>
      </c>
      <c r="G42" s="161">
        <f t="shared" si="50"/>
        <v>17372.16</v>
      </c>
      <c r="H42" s="161">
        <f t="shared" si="50"/>
        <v>17372.16</v>
      </c>
      <c r="I42" s="161">
        <f t="shared" si="50"/>
        <v>17372.16</v>
      </c>
      <c r="J42" s="161">
        <f t="shared" si="50"/>
        <v>17372.16</v>
      </c>
      <c r="K42" s="161">
        <f t="shared" si="50"/>
        <v>17372.16</v>
      </c>
      <c r="L42" s="161">
        <f t="shared" si="50"/>
        <v>17372.16</v>
      </c>
      <c r="M42" s="161">
        <f t="shared" si="50"/>
        <v>17372.16</v>
      </c>
      <c r="N42" s="161">
        <f t="shared" si="21"/>
        <v>208465.92000000001</v>
      </c>
      <c r="Q42" s="50" t="str">
        <f t="shared" si="23"/>
        <v>INFONAVIT</v>
      </c>
      <c r="R42" s="161">
        <f t="shared" si="24"/>
        <v>20318.376096</v>
      </c>
      <c r="S42" s="161">
        <f t="shared" si="46"/>
        <v>20318.376096</v>
      </c>
      <c r="T42" s="161">
        <f t="shared" si="46"/>
        <v>20318.376096</v>
      </c>
      <c r="U42" s="161">
        <f t="shared" si="46"/>
        <v>20318.376096</v>
      </c>
      <c r="V42" s="161">
        <f t="shared" si="46"/>
        <v>20318.376096</v>
      </c>
    </row>
    <row r="43" spans="1:22" x14ac:dyDescent="0.2">
      <c r="A43" s="50" t="str">
        <v>ISR</v>
      </c>
      <c r="B43" s="161">
        <v>5131.68</v>
      </c>
      <c r="C43" s="161">
        <f t="shared" ref="C43:M43" si="51">B43</f>
        <v>5131.68</v>
      </c>
      <c r="D43" s="161">
        <f t="shared" si="51"/>
        <v>5131.68</v>
      </c>
      <c r="E43" s="161">
        <f t="shared" si="51"/>
        <v>5131.68</v>
      </c>
      <c r="F43" s="161">
        <f t="shared" si="51"/>
        <v>5131.68</v>
      </c>
      <c r="G43" s="161">
        <f t="shared" si="51"/>
        <v>5131.68</v>
      </c>
      <c r="H43" s="161">
        <f t="shared" si="51"/>
        <v>5131.68</v>
      </c>
      <c r="I43" s="161">
        <f t="shared" si="51"/>
        <v>5131.68</v>
      </c>
      <c r="J43" s="161">
        <f t="shared" si="51"/>
        <v>5131.68</v>
      </c>
      <c r="K43" s="161">
        <f t="shared" si="51"/>
        <v>5131.68</v>
      </c>
      <c r="L43" s="161">
        <f t="shared" si="51"/>
        <v>5131.68</v>
      </c>
      <c r="M43" s="161">
        <f t="shared" si="51"/>
        <v>5131.68</v>
      </c>
      <c r="N43" s="161">
        <f t="shared" si="21"/>
        <v>61580.160000000003</v>
      </c>
      <c r="Q43" s="50" t="str">
        <f t="shared" si="23"/>
        <v>Seguro de retiro y cesantía</v>
      </c>
      <c r="R43" s="161">
        <f t="shared" si="24"/>
        <v>17372.16</v>
      </c>
      <c r="S43" s="161">
        <f t="shared" si="46"/>
        <v>17372.16</v>
      </c>
      <c r="T43" s="161">
        <f t="shared" si="46"/>
        <v>17372.16</v>
      </c>
      <c r="U43" s="161">
        <f t="shared" si="46"/>
        <v>17372.16</v>
      </c>
      <c r="V43" s="161">
        <f t="shared" si="46"/>
        <v>17372.16</v>
      </c>
    </row>
    <row r="44" spans="1:22" x14ac:dyDescent="0.2">
      <c r="A44" s="50" t="str">
        <v>Uniformes y protección</v>
      </c>
      <c r="B44" s="161">
        <v>6400</v>
      </c>
      <c r="C44" s="161">
        <f t="shared" ref="C44:M44" si="52">B44</f>
        <v>6400</v>
      </c>
      <c r="D44" s="161">
        <f t="shared" si="52"/>
        <v>6400</v>
      </c>
      <c r="E44" s="161">
        <f t="shared" si="52"/>
        <v>6400</v>
      </c>
      <c r="F44" s="161">
        <f t="shared" si="52"/>
        <v>6400</v>
      </c>
      <c r="G44" s="161">
        <f t="shared" si="52"/>
        <v>6400</v>
      </c>
      <c r="H44" s="161">
        <f t="shared" si="52"/>
        <v>6400</v>
      </c>
      <c r="I44" s="161">
        <f t="shared" si="52"/>
        <v>6400</v>
      </c>
      <c r="J44" s="161">
        <f t="shared" si="52"/>
        <v>6400</v>
      </c>
      <c r="K44" s="161">
        <f t="shared" si="52"/>
        <v>6400</v>
      </c>
      <c r="L44" s="161">
        <f t="shared" si="52"/>
        <v>6400</v>
      </c>
      <c r="M44" s="161">
        <f t="shared" si="52"/>
        <v>6400</v>
      </c>
      <c r="N44" s="161">
        <f t="shared" si="21"/>
        <v>76800</v>
      </c>
      <c r="Q44" s="50" t="str">
        <f t="shared" si="23"/>
        <v>ISR</v>
      </c>
      <c r="R44" s="161">
        <f t="shared" si="24"/>
        <v>5131.68</v>
      </c>
      <c r="S44" s="161">
        <f t="shared" si="46"/>
        <v>5131.68</v>
      </c>
      <c r="T44" s="161">
        <f t="shared" si="46"/>
        <v>5131.68</v>
      </c>
      <c r="U44" s="161">
        <f t="shared" si="46"/>
        <v>5131.68</v>
      </c>
      <c r="V44" s="161">
        <f t="shared" si="46"/>
        <v>5131.68</v>
      </c>
    </row>
    <row r="45" spans="1:22" x14ac:dyDescent="0.2">
      <c r="A45" s="50"/>
      <c r="B45" s="161"/>
      <c r="C45" s="161">
        <f t="shared" ref="C45:M45" si="53">B45</f>
        <v>0</v>
      </c>
      <c r="D45" s="161">
        <f t="shared" si="53"/>
        <v>0</v>
      </c>
      <c r="E45" s="161">
        <f t="shared" si="53"/>
        <v>0</v>
      </c>
      <c r="F45" s="161">
        <f t="shared" si="53"/>
        <v>0</v>
      </c>
      <c r="G45" s="161">
        <f t="shared" si="53"/>
        <v>0</v>
      </c>
      <c r="H45" s="161">
        <f t="shared" si="53"/>
        <v>0</v>
      </c>
      <c r="I45" s="161">
        <f t="shared" si="53"/>
        <v>0</v>
      </c>
      <c r="J45" s="161">
        <f t="shared" si="53"/>
        <v>0</v>
      </c>
      <c r="K45" s="161">
        <f t="shared" si="53"/>
        <v>0</v>
      </c>
      <c r="L45" s="161">
        <f t="shared" si="53"/>
        <v>0</v>
      </c>
      <c r="M45" s="161">
        <f t="shared" si="53"/>
        <v>0</v>
      </c>
      <c r="N45" s="161">
        <f t="shared" si="21"/>
        <v>0</v>
      </c>
      <c r="Q45" s="50" t="str">
        <f t="shared" si="23"/>
        <v>Uniformes y protección</v>
      </c>
      <c r="R45" s="161">
        <f t="shared" si="24"/>
        <v>6400</v>
      </c>
      <c r="S45" s="161">
        <f t="shared" si="46"/>
        <v>6400</v>
      </c>
      <c r="T45" s="161">
        <f t="shared" si="46"/>
        <v>6400</v>
      </c>
      <c r="U45" s="161">
        <f t="shared" si="46"/>
        <v>6400</v>
      </c>
      <c r="V45" s="161">
        <f t="shared" si="46"/>
        <v>6400</v>
      </c>
    </row>
    <row r="46" spans="1:22" x14ac:dyDescent="0.2">
      <c r="A46" s="50"/>
      <c r="B46" s="161"/>
      <c r="C46" s="161">
        <f t="shared" ref="C46:M46" si="54">B46</f>
        <v>0</v>
      </c>
      <c r="D46" s="161">
        <f t="shared" si="54"/>
        <v>0</v>
      </c>
      <c r="E46" s="161">
        <f t="shared" si="54"/>
        <v>0</v>
      </c>
      <c r="F46" s="161">
        <f t="shared" si="54"/>
        <v>0</v>
      </c>
      <c r="G46" s="161">
        <f t="shared" si="54"/>
        <v>0</v>
      </c>
      <c r="H46" s="161">
        <f t="shared" si="54"/>
        <v>0</v>
      </c>
      <c r="I46" s="161">
        <f t="shared" si="54"/>
        <v>0</v>
      </c>
      <c r="J46" s="161">
        <f t="shared" si="54"/>
        <v>0</v>
      </c>
      <c r="K46" s="161">
        <f t="shared" si="54"/>
        <v>0</v>
      </c>
      <c r="L46" s="161">
        <f t="shared" si="54"/>
        <v>0</v>
      </c>
      <c r="M46" s="161">
        <f t="shared" si="54"/>
        <v>0</v>
      </c>
      <c r="N46" s="161">
        <f t="shared" si="21"/>
        <v>0</v>
      </c>
      <c r="Q46" s="50">
        <f t="shared" si="23"/>
        <v>0</v>
      </c>
      <c r="R46" s="161">
        <f t="shared" si="24"/>
        <v>0</v>
      </c>
      <c r="S46" s="161">
        <f t="shared" si="46"/>
        <v>0</v>
      </c>
      <c r="T46" s="161">
        <f t="shared" si="46"/>
        <v>0</v>
      </c>
      <c r="U46" s="161">
        <f t="shared" si="46"/>
        <v>0</v>
      </c>
      <c r="V46" s="161">
        <f t="shared" si="46"/>
        <v>0</v>
      </c>
    </row>
    <row r="47" spans="1:22" x14ac:dyDescent="0.2">
      <c r="A47" s="50"/>
      <c r="B47" s="161"/>
      <c r="C47" s="161">
        <f t="shared" ref="C47:M47" si="55">B47</f>
        <v>0</v>
      </c>
      <c r="D47" s="161">
        <f t="shared" si="55"/>
        <v>0</v>
      </c>
      <c r="E47" s="161">
        <f t="shared" si="55"/>
        <v>0</v>
      </c>
      <c r="F47" s="161">
        <f t="shared" si="55"/>
        <v>0</v>
      </c>
      <c r="G47" s="161">
        <f t="shared" si="55"/>
        <v>0</v>
      </c>
      <c r="H47" s="161">
        <f t="shared" si="55"/>
        <v>0</v>
      </c>
      <c r="I47" s="161">
        <f t="shared" si="55"/>
        <v>0</v>
      </c>
      <c r="J47" s="161">
        <f t="shared" si="55"/>
        <v>0</v>
      </c>
      <c r="K47" s="161">
        <f t="shared" si="55"/>
        <v>0</v>
      </c>
      <c r="L47" s="161">
        <f t="shared" si="55"/>
        <v>0</v>
      </c>
      <c r="M47" s="161">
        <f t="shared" si="55"/>
        <v>0</v>
      </c>
      <c r="N47" s="161">
        <f t="shared" si="21"/>
        <v>0</v>
      </c>
      <c r="Q47" s="50">
        <f t="shared" si="23"/>
        <v>0</v>
      </c>
      <c r="R47" s="161">
        <f t="shared" si="24"/>
        <v>0</v>
      </c>
      <c r="S47" s="161">
        <f t="shared" si="46"/>
        <v>0</v>
      </c>
      <c r="T47" s="161">
        <f t="shared" si="46"/>
        <v>0</v>
      </c>
      <c r="U47" s="161">
        <f t="shared" si="46"/>
        <v>0</v>
      </c>
      <c r="V47" s="161">
        <f t="shared" si="46"/>
        <v>0</v>
      </c>
    </row>
    <row r="48" spans="1:22" x14ac:dyDescent="0.2">
      <c r="A48" s="50" t="str" cm="1">
        <f t="array" ref="A48:A52">'M. DE CALCULO DE GASTOS FIJO'!A57:A61</f>
        <v>Mantenimiento de equipo</v>
      </c>
      <c r="B48" s="161" cm="1">
        <f t="array" ref="B48:B52">'M. DE CALCULO DE GASTOS FIJO'!E57:E61</f>
        <v>300</v>
      </c>
      <c r="C48" s="161">
        <f t="shared" ref="C48:M48" si="56">B48</f>
        <v>300</v>
      </c>
      <c r="D48" s="161">
        <f t="shared" si="56"/>
        <v>300</v>
      </c>
      <c r="E48" s="161">
        <f t="shared" si="56"/>
        <v>300</v>
      </c>
      <c r="F48" s="161">
        <f t="shared" si="56"/>
        <v>300</v>
      </c>
      <c r="G48" s="161">
        <f t="shared" si="56"/>
        <v>300</v>
      </c>
      <c r="H48" s="161">
        <f t="shared" si="56"/>
        <v>300</v>
      </c>
      <c r="I48" s="161">
        <f t="shared" si="56"/>
        <v>300</v>
      </c>
      <c r="J48" s="161">
        <f t="shared" si="56"/>
        <v>300</v>
      </c>
      <c r="K48" s="161">
        <f t="shared" si="56"/>
        <v>300</v>
      </c>
      <c r="L48" s="161">
        <f t="shared" si="56"/>
        <v>300</v>
      </c>
      <c r="M48" s="161">
        <f t="shared" si="56"/>
        <v>300</v>
      </c>
      <c r="N48" s="161">
        <f t="shared" si="21"/>
        <v>3600</v>
      </c>
      <c r="Q48" s="50">
        <f t="shared" si="23"/>
        <v>0</v>
      </c>
      <c r="R48" s="161">
        <f t="shared" si="24"/>
        <v>0</v>
      </c>
      <c r="S48" s="161">
        <f t="shared" si="46"/>
        <v>0</v>
      </c>
      <c r="T48" s="161">
        <f t="shared" si="46"/>
        <v>0</v>
      </c>
      <c r="U48" s="161">
        <f t="shared" si="46"/>
        <v>0</v>
      </c>
      <c r="V48" s="161">
        <f t="shared" si="46"/>
        <v>0</v>
      </c>
    </row>
    <row r="49" spans="1:22" x14ac:dyDescent="0.2">
      <c r="A49" s="50" t="str">
        <v>Sustitución de mobiliario</v>
      </c>
      <c r="B49" s="161">
        <v>200</v>
      </c>
      <c r="C49" s="161">
        <f t="shared" ref="C49:M49" si="57">B49</f>
        <v>200</v>
      </c>
      <c r="D49" s="161">
        <f t="shared" si="57"/>
        <v>200</v>
      </c>
      <c r="E49" s="161">
        <f t="shared" si="57"/>
        <v>200</v>
      </c>
      <c r="F49" s="161">
        <f t="shared" si="57"/>
        <v>200</v>
      </c>
      <c r="G49" s="161">
        <f t="shared" si="57"/>
        <v>200</v>
      </c>
      <c r="H49" s="161">
        <f t="shared" si="57"/>
        <v>200</v>
      </c>
      <c r="I49" s="161">
        <f t="shared" si="57"/>
        <v>200</v>
      </c>
      <c r="J49" s="161">
        <f t="shared" si="57"/>
        <v>200</v>
      </c>
      <c r="K49" s="161">
        <f t="shared" si="57"/>
        <v>200</v>
      </c>
      <c r="L49" s="161">
        <f t="shared" si="57"/>
        <v>200</v>
      </c>
      <c r="M49" s="161">
        <f t="shared" si="57"/>
        <v>200</v>
      </c>
      <c r="N49" s="161">
        <f t="shared" si="21"/>
        <v>2400</v>
      </c>
      <c r="Q49" s="50" t="str">
        <f t="shared" si="23"/>
        <v>Mantenimiento de equipo</v>
      </c>
      <c r="R49" s="161">
        <f t="shared" si="24"/>
        <v>300</v>
      </c>
      <c r="S49" s="161">
        <f t="shared" si="46"/>
        <v>300</v>
      </c>
      <c r="T49" s="161">
        <f t="shared" si="46"/>
        <v>300</v>
      </c>
      <c r="U49" s="161">
        <f t="shared" si="46"/>
        <v>300</v>
      </c>
      <c r="V49" s="161">
        <f t="shared" si="46"/>
        <v>300</v>
      </c>
    </row>
    <row r="50" spans="1:22" x14ac:dyDescent="0.2">
      <c r="A50" s="50" t="str">
        <v>Herramientas menores</v>
      </c>
      <c r="B50" s="161">
        <v>250</v>
      </c>
      <c r="C50" s="161">
        <f t="shared" ref="C50:M50" si="58">B50</f>
        <v>250</v>
      </c>
      <c r="D50" s="161">
        <f t="shared" si="58"/>
        <v>250</v>
      </c>
      <c r="E50" s="161">
        <f t="shared" si="58"/>
        <v>250</v>
      </c>
      <c r="F50" s="161">
        <f t="shared" si="58"/>
        <v>250</v>
      </c>
      <c r="G50" s="161">
        <f t="shared" si="58"/>
        <v>250</v>
      </c>
      <c r="H50" s="161">
        <f t="shared" si="58"/>
        <v>250</v>
      </c>
      <c r="I50" s="161">
        <f t="shared" si="58"/>
        <v>250</v>
      </c>
      <c r="J50" s="161">
        <f t="shared" si="58"/>
        <v>250</v>
      </c>
      <c r="K50" s="161">
        <f t="shared" si="58"/>
        <v>250</v>
      </c>
      <c r="L50" s="161">
        <f t="shared" si="58"/>
        <v>250</v>
      </c>
      <c r="M50" s="161">
        <f t="shared" si="58"/>
        <v>250</v>
      </c>
      <c r="N50" s="161">
        <f t="shared" si="21"/>
        <v>3000</v>
      </c>
      <c r="Q50" s="50" t="str">
        <f t="shared" si="23"/>
        <v>Sustitución de mobiliario</v>
      </c>
      <c r="R50" s="161">
        <f t="shared" si="24"/>
        <v>200</v>
      </c>
      <c r="S50" s="161">
        <f t="shared" si="46"/>
        <v>200</v>
      </c>
      <c r="T50" s="161">
        <f t="shared" si="46"/>
        <v>200</v>
      </c>
      <c r="U50" s="161">
        <f t="shared" si="46"/>
        <v>200</v>
      </c>
      <c r="V50" s="161">
        <f t="shared" si="46"/>
        <v>200</v>
      </c>
    </row>
    <row r="51" spans="1:22" x14ac:dyDescent="0.2">
      <c r="A51" s="50" t="str">
        <v>Pintura / remodelaciones</v>
      </c>
      <c r="B51" s="161">
        <v>150</v>
      </c>
      <c r="C51" s="161">
        <f t="shared" ref="C51:M51" si="59">B51</f>
        <v>150</v>
      </c>
      <c r="D51" s="161">
        <f t="shared" si="59"/>
        <v>150</v>
      </c>
      <c r="E51" s="161">
        <f t="shared" si="59"/>
        <v>150</v>
      </c>
      <c r="F51" s="161">
        <f t="shared" si="59"/>
        <v>150</v>
      </c>
      <c r="G51" s="161">
        <f t="shared" si="59"/>
        <v>150</v>
      </c>
      <c r="H51" s="161">
        <f t="shared" si="59"/>
        <v>150</v>
      </c>
      <c r="I51" s="161">
        <f t="shared" si="59"/>
        <v>150</v>
      </c>
      <c r="J51" s="161">
        <f t="shared" si="59"/>
        <v>150</v>
      </c>
      <c r="K51" s="161">
        <f t="shared" si="59"/>
        <v>150</v>
      </c>
      <c r="L51" s="161">
        <f t="shared" si="59"/>
        <v>150</v>
      </c>
      <c r="M51" s="161">
        <f t="shared" si="59"/>
        <v>150</v>
      </c>
      <c r="N51" s="161">
        <f t="shared" si="21"/>
        <v>1800</v>
      </c>
      <c r="Q51" s="50" t="str">
        <f t="shared" si="23"/>
        <v>Herramientas menores</v>
      </c>
      <c r="R51" s="161">
        <f t="shared" si="24"/>
        <v>250</v>
      </c>
      <c r="S51" s="161">
        <f t="shared" si="46"/>
        <v>250</v>
      </c>
      <c r="T51" s="161">
        <f t="shared" si="46"/>
        <v>250</v>
      </c>
      <c r="U51" s="161">
        <f t="shared" si="46"/>
        <v>250</v>
      </c>
      <c r="V51" s="161">
        <f t="shared" si="46"/>
        <v>250</v>
      </c>
    </row>
    <row r="52" spans="1:22" x14ac:dyDescent="0.2">
      <c r="A52" s="50" t="str">
        <v>Repuestos / accesorios</v>
      </c>
      <c r="B52" s="161">
        <v>100</v>
      </c>
      <c r="C52" s="161">
        <f t="shared" ref="C52:M52" si="60">B52</f>
        <v>100</v>
      </c>
      <c r="D52" s="161">
        <f t="shared" si="60"/>
        <v>100</v>
      </c>
      <c r="E52" s="161">
        <f t="shared" si="60"/>
        <v>100</v>
      </c>
      <c r="F52" s="161">
        <f t="shared" si="60"/>
        <v>100</v>
      </c>
      <c r="G52" s="161">
        <f t="shared" si="60"/>
        <v>100</v>
      </c>
      <c r="H52" s="161">
        <f t="shared" si="60"/>
        <v>100</v>
      </c>
      <c r="I52" s="161">
        <f t="shared" si="60"/>
        <v>100</v>
      </c>
      <c r="J52" s="161">
        <f t="shared" si="60"/>
        <v>100</v>
      </c>
      <c r="K52" s="161">
        <f t="shared" si="60"/>
        <v>100</v>
      </c>
      <c r="L52" s="161">
        <f t="shared" si="60"/>
        <v>100</v>
      </c>
      <c r="M52" s="161">
        <f t="shared" si="60"/>
        <v>100</v>
      </c>
      <c r="N52" s="161">
        <f t="shared" si="21"/>
        <v>1200</v>
      </c>
      <c r="Q52" s="50" t="str">
        <f t="shared" si="23"/>
        <v>Pintura / remodelaciones</v>
      </c>
      <c r="R52" s="161">
        <f t="shared" si="24"/>
        <v>150</v>
      </c>
      <c r="S52" s="161">
        <f t="shared" si="46"/>
        <v>150</v>
      </c>
      <c r="T52" s="161">
        <f t="shared" si="46"/>
        <v>150</v>
      </c>
      <c r="U52" s="161">
        <f t="shared" si="46"/>
        <v>150</v>
      </c>
      <c r="V52" s="161">
        <f t="shared" si="46"/>
        <v>150</v>
      </c>
    </row>
    <row r="53" spans="1:22" x14ac:dyDescent="0.2">
      <c r="A53" s="64" t="s">
        <v>107</v>
      </c>
      <c r="B53" s="65">
        <f t="shared" ref="B53:N53" si="61">+B16+B4</f>
        <v>400982.45609599998</v>
      </c>
      <c r="C53" s="65">
        <f t="shared" si="61"/>
        <v>404853.65609599999</v>
      </c>
      <c r="D53" s="65">
        <f t="shared" si="61"/>
        <v>400905.03209599998</v>
      </c>
      <c r="E53" s="65">
        <f t="shared" si="61"/>
        <v>406709.50937600003</v>
      </c>
      <c r="F53" s="65">
        <f t="shared" si="61"/>
        <v>410695.25044159999</v>
      </c>
      <c r="G53" s="65">
        <f t="shared" si="61"/>
        <v>404597.066611232</v>
      </c>
      <c r="H53" s="65">
        <f t="shared" si="61"/>
        <v>402625.32050607965</v>
      </c>
      <c r="I53" s="65">
        <f t="shared" si="61"/>
        <v>406529.37779428123</v>
      </c>
      <c r="J53" s="65">
        <f t="shared" si="61"/>
        <v>402547.23936031561</v>
      </c>
      <c r="K53" s="65">
        <f t="shared" si="61"/>
        <v>400595.99152767251</v>
      </c>
      <c r="L53" s="65">
        <f t="shared" si="61"/>
        <v>404459.46223630587</v>
      </c>
      <c r="M53" s="65">
        <f t="shared" si="61"/>
        <v>408400.20235911204</v>
      </c>
      <c r="N53" s="65">
        <f t="shared" si="61"/>
        <v>4853900.5645005992</v>
      </c>
      <c r="Q53" s="50" t="str">
        <f t="shared" si="23"/>
        <v>Repuestos / accesorios</v>
      </c>
      <c r="R53" s="161">
        <f t="shared" si="24"/>
        <v>100</v>
      </c>
      <c r="S53" s="161">
        <f t="shared" si="46"/>
        <v>100</v>
      </c>
      <c r="T53" s="161">
        <f t="shared" si="46"/>
        <v>100</v>
      </c>
      <c r="U53" s="161">
        <f t="shared" si="46"/>
        <v>100</v>
      </c>
      <c r="V53" s="161">
        <f t="shared" si="46"/>
        <v>100</v>
      </c>
    </row>
    <row r="54" spans="1:22" ht="15.75" x14ac:dyDescent="0.25">
      <c r="Q54" s="67" t="s">
        <v>107</v>
      </c>
      <c r="R54" s="163">
        <f>SUM(R17+R4)</f>
        <v>4853900.5645005992</v>
      </c>
      <c r="S54" s="163">
        <f>+S17+S4</f>
        <v>4944527.3313467558</v>
      </c>
      <c r="T54" s="163">
        <f>SUM(T17+T4)</f>
        <v>5038627.1626747865</v>
      </c>
      <c r="U54" s="163">
        <f>SUM(U17+U4)</f>
        <v>5136333.1557727735</v>
      </c>
      <c r="V54" s="163">
        <f>SUM(V17+V4)</f>
        <v>5237783.5085793044</v>
      </c>
    </row>
    <row r="55" spans="1:22" ht="15.75" x14ac:dyDescent="0.25">
      <c r="A55" s="665" t="s">
        <v>248</v>
      </c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  <c r="M55" s="665"/>
      <c r="N55" s="665"/>
    </row>
    <row r="56" spans="1:22" ht="15.75" x14ac:dyDescent="0.25">
      <c r="A56" s="61" t="s">
        <v>104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 t="s">
        <v>26</v>
      </c>
    </row>
    <row r="57" spans="1:22" ht="15.75" x14ac:dyDescent="0.25">
      <c r="A57" s="62" t="s">
        <v>105</v>
      </c>
      <c r="B57" s="66">
        <f t="shared" ref="B57:N57" si="62">SUM(B58:B68)</f>
        <v>200977.74626311206</v>
      </c>
      <c r="C57" s="66">
        <f t="shared" si="62"/>
        <v>204997.30118837435</v>
      </c>
      <c r="D57" s="66">
        <f t="shared" si="62"/>
        <v>200897.35516460685</v>
      </c>
      <c r="E57" s="66">
        <f t="shared" si="62"/>
        <v>206924.27581954506</v>
      </c>
      <c r="F57" s="66">
        <f t="shared" si="62"/>
        <v>211062.76133593588</v>
      </c>
      <c r="G57" s="66">
        <f t="shared" si="62"/>
        <v>204730.87849585788</v>
      </c>
      <c r="H57" s="66">
        <f t="shared" si="62"/>
        <v>202683.56971089929</v>
      </c>
      <c r="I57" s="66">
        <f t="shared" si="62"/>
        <v>206737.24110511722</v>
      </c>
      <c r="J57" s="66">
        <f t="shared" si="62"/>
        <v>202602.49628301495</v>
      </c>
      <c r="K57" s="66">
        <f t="shared" si="62"/>
        <v>200576.47132018479</v>
      </c>
      <c r="L57" s="66">
        <f t="shared" si="62"/>
        <v>204588.00074658848</v>
      </c>
      <c r="M57" s="66">
        <f t="shared" si="62"/>
        <v>208679.76076152027</v>
      </c>
      <c r="N57" s="66">
        <f t="shared" si="62"/>
        <v>2455457.8581947563</v>
      </c>
    </row>
    <row r="58" spans="1:22" x14ac:dyDescent="0.2">
      <c r="A58" s="19" t="str">
        <f t="shared" ref="A58:A68" si="63">A5</f>
        <v xml:space="preserve">Carne de cerdo adobada al pastor </v>
      </c>
      <c r="B58" s="154">
        <f>M5</f>
        <v>118368.79042154772</v>
      </c>
      <c r="C58" s="118">
        <f>B58*1.02</f>
        <v>120736.16622997867</v>
      </c>
      <c r="D58" s="118">
        <f>C58*0.98</f>
        <v>118321.4429053791</v>
      </c>
      <c r="E58" s="118">
        <f>D58*1.03</f>
        <v>121871.08619254048</v>
      </c>
      <c r="F58" s="118">
        <f>E58*1.02</f>
        <v>124308.50791639129</v>
      </c>
      <c r="G58" s="118">
        <f>F58*0.97</f>
        <v>120579.25267889955</v>
      </c>
      <c r="H58" s="118">
        <f>G58*0.99</f>
        <v>119373.46015211055</v>
      </c>
      <c r="I58" s="118">
        <f>H58*1.02</f>
        <v>121760.92935515277</v>
      </c>
      <c r="J58" s="118">
        <f>I58*0.98</f>
        <v>119325.71076804971</v>
      </c>
      <c r="K58" s="118">
        <f>J58*0.99</f>
        <v>118132.45366036921</v>
      </c>
      <c r="L58" s="118">
        <f>K58*1.02</f>
        <v>120495.1027335766</v>
      </c>
      <c r="M58" s="118">
        <f>1.02*L58</f>
        <v>122905.00478824813</v>
      </c>
      <c r="N58" s="156">
        <f t="shared" ref="N58:N68" si="64">SUM(B58:M58)</f>
        <v>1446177.9078022437</v>
      </c>
    </row>
    <row r="59" spans="1:22" x14ac:dyDescent="0.2">
      <c r="A59" s="19" t="str">
        <f t="shared" si="63"/>
        <v>Tortilla de maíz</v>
      </c>
      <c r="B59" s="154">
        <f t="shared" ref="B59:B68" si="65">M6</f>
        <v>4734.7516168619095</v>
      </c>
      <c r="C59" s="118">
        <f t="shared" ref="C59:C68" si="66">B59*1.02</f>
        <v>4829.4466491991479</v>
      </c>
      <c r="D59" s="118">
        <f t="shared" ref="D59:D68" si="67">C59*0.98</f>
        <v>4732.8577162151651</v>
      </c>
      <c r="E59" s="118">
        <f t="shared" ref="E59:E68" si="68">D59*1.03</f>
        <v>4874.8434477016199</v>
      </c>
      <c r="F59" s="118">
        <f t="shared" ref="F59:F68" si="69">E59*1.02</f>
        <v>4972.3403166556527</v>
      </c>
      <c r="G59" s="118">
        <f t="shared" ref="G59:G68" si="70">F59*0.97</f>
        <v>4823.1701071559828</v>
      </c>
      <c r="H59" s="118">
        <f t="shared" ref="H59:H68" si="71">G59*0.99</f>
        <v>4774.9384060844231</v>
      </c>
      <c r="I59" s="118">
        <f t="shared" ref="I59:I68" si="72">H59*1.02</f>
        <v>4870.4371742061121</v>
      </c>
      <c r="J59" s="118">
        <f t="shared" ref="J59:J68" si="73">I59*0.98</f>
        <v>4773.0284307219899</v>
      </c>
      <c r="K59" s="118">
        <f t="shared" ref="K59:K68" si="74">J59*0.99</f>
        <v>4725.2981464147697</v>
      </c>
      <c r="L59" s="118">
        <f t="shared" ref="L59:L68" si="75">K59*1.02</f>
        <v>4819.8041093430647</v>
      </c>
      <c r="M59" s="118">
        <f t="shared" ref="M59:M68" si="76">1.02*L59</f>
        <v>4916.2001915299261</v>
      </c>
      <c r="N59" s="156">
        <f t="shared" si="64"/>
        <v>57847.116312089762</v>
      </c>
    </row>
    <row r="60" spans="1:22" x14ac:dyDescent="0.2">
      <c r="A60" s="19" t="str">
        <f t="shared" si="63"/>
        <v>Piña</v>
      </c>
      <c r="B60" s="154">
        <f t="shared" si="65"/>
        <v>2491.974535190478</v>
      </c>
      <c r="C60" s="118">
        <f t="shared" si="66"/>
        <v>2541.8140258942876</v>
      </c>
      <c r="D60" s="118">
        <f t="shared" si="67"/>
        <v>2490.9777453764018</v>
      </c>
      <c r="E60" s="118">
        <f t="shared" si="68"/>
        <v>2565.7070777376939</v>
      </c>
      <c r="F60" s="118">
        <f t="shared" si="69"/>
        <v>2617.0212192924478</v>
      </c>
      <c r="G60" s="118">
        <f t="shared" si="70"/>
        <v>2538.5105827136745</v>
      </c>
      <c r="H60" s="118">
        <f t="shared" si="71"/>
        <v>2513.1254768865379</v>
      </c>
      <c r="I60" s="118">
        <f t="shared" si="72"/>
        <v>2563.3879864242685</v>
      </c>
      <c r="J60" s="118">
        <f t="shared" si="73"/>
        <v>2512.120226695783</v>
      </c>
      <c r="K60" s="118">
        <f t="shared" si="74"/>
        <v>2486.9990244288251</v>
      </c>
      <c r="L60" s="118">
        <f t="shared" si="75"/>
        <v>2536.7390049174019</v>
      </c>
      <c r="M60" s="118">
        <f t="shared" si="76"/>
        <v>2587.4737850157499</v>
      </c>
      <c r="N60" s="156">
        <f t="shared" si="64"/>
        <v>30445.850690573552</v>
      </c>
    </row>
    <row r="61" spans="1:22" x14ac:dyDescent="0.2">
      <c r="A61" s="19" t="str">
        <f t="shared" si="63"/>
        <v>Cebolla</v>
      </c>
      <c r="B61" s="154">
        <f t="shared" si="65"/>
        <v>1245.987267595239</v>
      </c>
      <c r="C61" s="118">
        <f t="shared" si="66"/>
        <v>1270.9070129471438</v>
      </c>
      <c r="D61" s="118">
        <f t="shared" si="67"/>
        <v>1245.4888726882009</v>
      </c>
      <c r="E61" s="118">
        <f t="shared" si="68"/>
        <v>1282.853538868847</v>
      </c>
      <c r="F61" s="118">
        <f t="shared" si="69"/>
        <v>1308.5106096462239</v>
      </c>
      <c r="G61" s="118">
        <f t="shared" si="70"/>
        <v>1269.2552913568372</v>
      </c>
      <c r="H61" s="118">
        <f t="shared" si="71"/>
        <v>1256.5627384432689</v>
      </c>
      <c r="I61" s="118">
        <f t="shared" si="72"/>
        <v>1281.6939932121343</v>
      </c>
      <c r="J61" s="118">
        <f t="shared" si="73"/>
        <v>1256.0601133478915</v>
      </c>
      <c r="K61" s="118">
        <f t="shared" si="74"/>
        <v>1243.4995122144126</v>
      </c>
      <c r="L61" s="118">
        <f t="shared" si="75"/>
        <v>1268.3695024587009</v>
      </c>
      <c r="M61" s="118">
        <f t="shared" si="76"/>
        <v>1293.7368925078749</v>
      </c>
      <c r="N61" s="156">
        <f t="shared" si="64"/>
        <v>15222.925345286776</v>
      </c>
    </row>
    <row r="62" spans="1:22" x14ac:dyDescent="0.2">
      <c r="A62" s="19" t="str">
        <f t="shared" si="63"/>
        <v>Cilantro</v>
      </c>
      <c r="B62" s="154">
        <f t="shared" si="65"/>
        <v>1245.987267595239</v>
      </c>
      <c r="C62" s="118">
        <f t="shared" si="66"/>
        <v>1270.9070129471438</v>
      </c>
      <c r="D62" s="118">
        <f t="shared" si="67"/>
        <v>1245.4888726882009</v>
      </c>
      <c r="E62" s="118">
        <f t="shared" si="68"/>
        <v>1282.853538868847</v>
      </c>
      <c r="F62" s="118">
        <f t="shared" si="69"/>
        <v>1308.5106096462239</v>
      </c>
      <c r="G62" s="118">
        <f t="shared" si="70"/>
        <v>1269.2552913568372</v>
      </c>
      <c r="H62" s="118">
        <f t="shared" si="71"/>
        <v>1256.5627384432689</v>
      </c>
      <c r="I62" s="118">
        <f t="shared" si="72"/>
        <v>1281.6939932121343</v>
      </c>
      <c r="J62" s="118">
        <f t="shared" si="73"/>
        <v>1256.0601133478915</v>
      </c>
      <c r="K62" s="118">
        <f t="shared" si="74"/>
        <v>1243.4995122144126</v>
      </c>
      <c r="L62" s="118">
        <f t="shared" si="75"/>
        <v>1268.3695024587009</v>
      </c>
      <c r="M62" s="118">
        <f t="shared" si="76"/>
        <v>1293.7368925078749</v>
      </c>
      <c r="N62" s="156">
        <f t="shared" si="64"/>
        <v>15222.925345286776</v>
      </c>
    </row>
    <row r="63" spans="1:22" x14ac:dyDescent="0.2">
      <c r="A63" s="19" t="str">
        <f t="shared" si="63"/>
        <v xml:space="preserve">Carne de cerdo marinada estilo oriental </v>
      </c>
      <c r="B63" s="154">
        <f t="shared" si="65"/>
        <v>46724.522534821466</v>
      </c>
      <c r="C63" s="118">
        <f t="shared" si="66"/>
        <v>47659.012985517897</v>
      </c>
      <c r="D63" s="118">
        <f t="shared" si="67"/>
        <v>46705.832725807537</v>
      </c>
      <c r="E63" s="118">
        <f t="shared" si="68"/>
        <v>48107.007707581761</v>
      </c>
      <c r="F63" s="118">
        <f t="shared" si="69"/>
        <v>49069.1478617334</v>
      </c>
      <c r="G63" s="118">
        <f t="shared" si="70"/>
        <v>47597.073425881397</v>
      </c>
      <c r="H63" s="118">
        <f t="shared" si="71"/>
        <v>47121.102691622582</v>
      </c>
      <c r="I63" s="118">
        <f t="shared" si="72"/>
        <v>48063.524745455034</v>
      </c>
      <c r="J63" s="118">
        <f t="shared" si="73"/>
        <v>47102.254250545935</v>
      </c>
      <c r="K63" s="118">
        <f t="shared" si="74"/>
        <v>46631.231708040475</v>
      </c>
      <c r="L63" s="118">
        <f t="shared" si="75"/>
        <v>47563.856342201288</v>
      </c>
      <c r="M63" s="118">
        <f t="shared" si="76"/>
        <v>48515.133469045315</v>
      </c>
      <c r="N63" s="156">
        <f t="shared" si="64"/>
        <v>570859.70044825401</v>
      </c>
    </row>
    <row r="64" spans="1:22" x14ac:dyDescent="0.2">
      <c r="A64" s="19" t="str">
        <f t="shared" si="63"/>
        <v>Pan árabe (Pita)</v>
      </c>
      <c r="B64" s="154">
        <f t="shared" si="65"/>
        <v>3737.9618027857173</v>
      </c>
      <c r="C64" s="118">
        <f t="shared" si="66"/>
        <v>3812.7210388414319</v>
      </c>
      <c r="D64" s="118">
        <f t="shared" si="67"/>
        <v>3736.4666180646032</v>
      </c>
      <c r="E64" s="118">
        <f t="shared" si="68"/>
        <v>3848.5606166065413</v>
      </c>
      <c r="F64" s="118">
        <f t="shared" si="69"/>
        <v>3925.5318289386723</v>
      </c>
      <c r="G64" s="118">
        <f t="shared" si="70"/>
        <v>3807.7658740705119</v>
      </c>
      <c r="H64" s="118">
        <f t="shared" si="71"/>
        <v>3769.6882153298066</v>
      </c>
      <c r="I64" s="118">
        <f t="shared" si="72"/>
        <v>3845.0819796364026</v>
      </c>
      <c r="J64" s="118">
        <f t="shared" si="73"/>
        <v>3768.1803400436743</v>
      </c>
      <c r="K64" s="118">
        <f t="shared" si="74"/>
        <v>3730.4985366432375</v>
      </c>
      <c r="L64" s="118">
        <f t="shared" si="75"/>
        <v>3805.1085073761024</v>
      </c>
      <c r="M64" s="118">
        <f t="shared" si="76"/>
        <v>3881.2106775236243</v>
      </c>
      <c r="N64" s="156">
        <f t="shared" si="64"/>
        <v>45668.776035860319</v>
      </c>
    </row>
    <row r="65" spans="1:14" x14ac:dyDescent="0.2">
      <c r="A65" s="19" t="str">
        <f t="shared" si="63"/>
        <v>Tocino</v>
      </c>
      <c r="B65" s="154">
        <f t="shared" si="65"/>
        <v>13082.866309750008</v>
      </c>
      <c r="C65" s="118">
        <f t="shared" si="66"/>
        <v>13344.523635945008</v>
      </c>
      <c r="D65" s="118">
        <f t="shared" si="67"/>
        <v>13077.633163226108</v>
      </c>
      <c r="E65" s="118">
        <f t="shared" si="68"/>
        <v>13469.962158122891</v>
      </c>
      <c r="F65" s="118">
        <f t="shared" si="69"/>
        <v>13739.361401285349</v>
      </c>
      <c r="G65" s="118">
        <f t="shared" si="70"/>
        <v>13327.180559246788</v>
      </c>
      <c r="H65" s="118">
        <f t="shared" si="71"/>
        <v>13193.908753654319</v>
      </c>
      <c r="I65" s="118">
        <f t="shared" si="72"/>
        <v>13457.786928727406</v>
      </c>
      <c r="J65" s="118">
        <f t="shared" si="73"/>
        <v>13188.631190152857</v>
      </c>
      <c r="K65" s="118">
        <f t="shared" si="74"/>
        <v>13056.744878251327</v>
      </c>
      <c r="L65" s="118">
        <f t="shared" si="75"/>
        <v>13317.879775816355</v>
      </c>
      <c r="M65" s="118">
        <f t="shared" si="76"/>
        <v>13584.237371332682</v>
      </c>
      <c r="N65" s="156">
        <f t="shared" si="64"/>
        <v>159840.7161255111</v>
      </c>
    </row>
    <row r="66" spans="1:14" x14ac:dyDescent="0.2">
      <c r="A66" s="19" t="str">
        <f t="shared" si="63"/>
        <v>Chile poblano</v>
      </c>
      <c r="B66" s="154">
        <f t="shared" si="65"/>
        <v>3737.9618027857173</v>
      </c>
      <c r="C66" s="118">
        <f t="shared" si="66"/>
        <v>3812.7210388414319</v>
      </c>
      <c r="D66" s="118">
        <f t="shared" si="67"/>
        <v>3736.4666180646032</v>
      </c>
      <c r="E66" s="118">
        <f t="shared" si="68"/>
        <v>3848.5606166065413</v>
      </c>
      <c r="F66" s="118">
        <f t="shared" si="69"/>
        <v>3925.5318289386723</v>
      </c>
      <c r="G66" s="118">
        <f t="shared" si="70"/>
        <v>3807.7658740705119</v>
      </c>
      <c r="H66" s="118">
        <f t="shared" si="71"/>
        <v>3769.6882153298066</v>
      </c>
      <c r="I66" s="118">
        <f t="shared" si="72"/>
        <v>3845.0819796364026</v>
      </c>
      <c r="J66" s="118">
        <f t="shared" si="73"/>
        <v>3768.1803400436743</v>
      </c>
      <c r="K66" s="118">
        <f t="shared" si="74"/>
        <v>3730.4985366432375</v>
      </c>
      <c r="L66" s="118">
        <f t="shared" si="75"/>
        <v>3805.1085073761024</v>
      </c>
      <c r="M66" s="118">
        <f t="shared" si="76"/>
        <v>3881.2106775236243</v>
      </c>
      <c r="N66" s="156">
        <f t="shared" si="64"/>
        <v>45668.776035860319</v>
      </c>
    </row>
    <row r="67" spans="1:14" x14ac:dyDescent="0.2">
      <c r="A67" s="19" t="str">
        <f t="shared" si="63"/>
        <v>Cebolla</v>
      </c>
      <c r="B67" s="154">
        <f t="shared" si="65"/>
        <v>3114.9681689880972</v>
      </c>
      <c r="C67" s="118">
        <f t="shared" si="66"/>
        <v>3177.2675323678591</v>
      </c>
      <c r="D67" s="118">
        <f t="shared" si="67"/>
        <v>3113.7221817205018</v>
      </c>
      <c r="E67" s="118">
        <f t="shared" si="68"/>
        <v>3207.1338471721169</v>
      </c>
      <c r="F67" s="118">
        <f t="shared" si="69"/>
        <v>3271.2765241155594</v>
      </c>
      <c r="G67" s="118">
        <f t="shared" si="70"/>
        <v>3173.1382283920925</v>
      </c>
      <c r="H67" s="118">
        <f t="shared" si="71"/>
        <v>3141.4068461081715</v>
      </c>
      <c r="I67" s="118">
        <f t="shared" si="72"/>
        <v>3204.2349830303351</v>
      </c>
      <c r="J67" s="118">
        <f t="shared" si="73"/>
        <v>3140.1502833697282</v>
      </c>
      <c r="K67" s="118">
        <f t="shared" si="74"/>
        <v>3108.7487805360311</v>
      </c>
      <c r="L67" s="118">
        <f t="shared" si="75"/>
        <v>3170.9237561467517</v>
      </c>
      <c r="M67" s="118">
        <f t="shared" si="76"/>
        <v>3234.3422312696866</v>
      </c>
      <c r="N67" s="156">
        <f t="shared" si="64"/>
        <v>38057.313363216934</v>
      </c>
    </row>
    <row r="68" spans="1:14" x14ac:dyDescent="0.2">
      <c r="A68" s="19" t="str">
        <f t="shared" si="63"/>
        <v>Jitomate</v>
      </c>
      <c r="B68" s="154">
        <f t="shared" si="65"/>
        <v>2491.974535190478</v>
      </c>
      <c r="C68" s="118">
        <f t="shared" si="66"/>
        <v>2541.8140258942876</v>
      </c>
      <c r="D68" s="118">
        <f t="shared" si="67"/>
        <v>2490.9777453764018</v>
      </c>
      <c r="E68" s="118">
        <f t="shared" si="68"/>
        <v>2565.7070777376939</v>
      </c>
      <c r="F68" s="118">
        <f t="shared" si="69"/>
        <v>2617.0212192924478</v>
      </c>
      <c r="G68" s="118">
        <f t="shared" si="70"/>
        <v>2538.5105827136745</v>
      </c>
      <c r="H68" s="118">
        <f t="shared" si="71"/>
        <v>2513.1254768865379</v>
      </c>
      <c r="I68" s="118">
        <f t="shared" si="72"/>
        <v>2563.3879864242685</v>
      </c>
      <c r="J68" s="118">
        <f t="shared" si="73"/>
        <v>2512.120226695783</v>
      </c>
      <c r="K68" s="118">
        <f t="shared" si="74"/>
        <v>2486.9990244288251</v>
      </c>
      <c r="L68" s="118">
        <f t="shared" si="75"/>
        <v>2536.7390049174019</v>
      </c>
      <c r="M68" s="118">
        <f t="shared" si="76"/>
        <v>2587.4737850157499</v>
      </c>
      <c r="N68" s="156">
        <f t="shared" si="64"/>
        <v>30445.850690573552</v>
      </c>
    </row>
    <row r="69" spans="1:14" ht="15.75" x14ac:dyDescent="0.25">
      <c r="A69" s="62" t="s">
        <v>106</v>
      </c>
      <c r="B69" s="162">
        <f t="shared" ref="B69:N69" si="77">SUM(B70:B94,B99:B105)</f>
        <v>207422.45609599998</v>
      </c>
      <c r="C69" s="162">
        <f t="shared" si="77"/>
        <v>207422.45609599998</v>
      </c>
      <c r="D69" s="162">
        <f t="shared" si="77"/>
        <v>207422.45609599998</v>
      </c>
      <c r="E69" s="162">
        <f t="shared" si="77"/>
        <v>207422.45609599998</v>
      </c>
      <c r="F69" s="162">
        <f t="shared" si="77"/>
        <v>207422.45609599998</v>
      </c>
      <c r="G69" s="162">
        <f t="shared" si="77"/>
        <v>207422.45609599998</v>
      </c>
      <c r="H69" s="162">
        <f t="shared" si="77"/>
        <v>207422.45609599998</v>
      </c>
      <c r="I69" s="162">
        <f t="shared" si="77"/>
        <v>207422.45609599998</v>
      </c>
      <c r="J69" s="162">
        <f t="shared" si="77"/>
        <v>207422.45609599998</v>
      </c>
      <c r="K69" s="162">
        <f t="shared" si="77"/>
        <v>207422.45609599998</v>
      </c>
      <c r="L69" s="162">
        <f t="shared" si="77"/>
        <v>207422.45609599998</v>
      </c>
      <c r="M69" s="162">
        <f t="shared" si="77"/>
        <v>207422.45609599998</v>
      </c>
      <c r="N69" s="162">
        <f t="shared" si="77"/>
        <v>2489069.473152</v>
      </c>
    </row>
    <row r="70" spans="1:14" x14ac:dyDescent="0.2">
      <c r="A70" s="50" t="str">
        <f t="shared" ref="A70:A105" si="78">A17</f>
        <v>Renta del local</v>
      </c>
      <c r="B70" s="161">
        <f t="shared" ref="B70:B105" si="79">M17</f>
        <v>16000</v>
      </c>
      <c r="C70" s="161">
        <f t="shared" ref="C70:M70" si="80">B70</f>
        <v>16000</v>
      </c>
      <c r="D70" s="161">
        <f t="shared" si="80"/>
        <v>16000</v>
      </c>
      <c r="E70" s="161">
        <f t="shared" si="80"/>
        <v>16000</v>
      </c>
      <c r="F70" s="161">
        <f t="shared" si="80"/>
        <v>16000</v>
      </c>
      <c r="G70" s="161">
        <f t="shared" si="80"/>
        <v>16000</v>
      </c>
      <c r="H70" s="161">
        <f t="shared" si="80"/>
        <v>16000</v>
      </c>
      <c r="I70" s="161">
        <f t="shared" si="80"/>
        <v>16000</v>
      </c>
      <c r="J70" s="161">
        <f t="shared" si="80"/>
        <v>16000</v>
      </c>
      <c r="K70" s="161">
        <f t="shared" si="80"/>
        <v>16000</v>
      </c>
      <c r="L70" s="161">
        <f t="shared" si="80"/>
        <v>16000</v>
      </c>
      <c r="M70" s="161">
        <f t="shared" si="80"/>
        <v>16000</v>
      </c>
      <c r="N70" s="161">
        <f t="shared" ref="N70:N105" si="81">SUM(B70:M70)</f>
        <v>192000</v>
      </c>
    </row>
    <row r="71" spans="1:14" x14ac:dyDescent="0.2">
      <c r="A71" s="50" t="str">
        <f t="shared" si="78"/>
        <v>Internet / teléfono</v>
      </c>
      <c r="B71" s="161">
        <f t="shared" si="79"/>
        <v>600</v>
      </c>
      <c r="C71" s="161">
        <f t="shared" ref="C71:M71" si="82">B71</f>
        <v>600</v>
      </c>
      <c r="D71" s="161">
        <f t="shared" si="82"/>
        <v>600</v>
      </c>
      <c r="E71" s="161">
        <f t="shared" si="82"/>
        <v>600</v>
      </c>
      <c r="F71" s="161">
        <f t="shared" si="82"/>
        <v>600</v>
      </c>
      <c r="G71" s="161">
        <f t="shared" si="82"/>
        <v>600</v>
      </c>
      <c r="H71" s="161">
        <f t="shared" si="82"/>
        <v>600</v>
      </c>
      <c r="I71" s="161">
        <f t="shared" si="82"/>
        <v>600</v>
      </c>
      <c r="J71" s="161">
        <f t="shared" si="82"/>
        <v>600</v>
      </c>
      <c r="K71" s="161">
        <f t="shared" si="82"/>
        <v>600</v>
      </c>
      <c r="L71" s="161">
        <f t="shared" si="82"/>
        <v>600</v>
      </c>
      <c r="M71" s="161">
        <f t="shared" si="82"/>
        <v>600</v>
      </c>
      <c r="N71" s="161">
        <f t="shared" si="81"/>
        <v>7200</v>
      </c>
    </row>
    <row r="72" spans="1:14" x14ac:dyDescent="0.2">
      <c r="A72" s="50" t="str">
        <f t="shared" si="78"/>
        <v>Permisos y licencias</v>
      </c>
      <c r="B72" s="161">
        <f t="shared" si="79"/>
        <v>400</v>
      </c>
      <c r="C72" s="161">
        <f t="shared" ref="C72:M72" si="83">B72</f>
        <v>400</v>
      </c>
      <c r="D72" s="161">
        <f t="shared" si="83"/>
        <v>400</v>
      </c>
      <c r="E72" s="161">
        <f t="shared" si="83"/>
        <v>400</v>
      </c>
      <c r="F72" s="161">
        <f t="shared" si="83"/>
        <v>400</v>
      </c>
      <c r="G72" s="161">
        <f t="shared" si="83"/>
        <v>400</v>
      </c>
      <c r="H72" s="161">
        <f t="shared" si="83"/>
        <v>400</v>
      </c>
      <c r="I72" s="161">
        <f t="shared" si="83"/>
        <v>400</v>
      </c>
      <c r="J72" s="161">
        <f t="shared" si="83"/>
        <v>400</v>
      </c>
      <c r="K72" s="161">
        <f t="shared" si="83"/>
        <v>400</v>
      </c>
      <c r="L72" s="161">
        <f t="shared" si="83"/>
        <v>400</v>
      </c>
      <c r="M72" s="161">
        <f t="shared" si="83"/>
        <v>400</v>
      </c>
      <c r="N72" s="161">
        <f t="shared" si="81"/>
        <v>4800</v>
      </c>
    </row>
    <row r="73" spans="1:14" x14ac:dyDescent="0.2">
      <c r="A73" s="50" t="str">
        <f t="shared" si="78"/>
        <v>Mantenimiento</v>
      </c>
      <c r="B73" s="161">
        <f t="shared" si="79"/>
        <v>500</v>
      </c>
      <c r="C73" s="161">
        <f t="shared" ref="C73:M73" si="84">B73</f>
        <v>500</v>
      </c>
      <c r="D73" s="161">
        <f t="shared" si="84"/>
        <v>500</v>
      </c>
      <c r="E73" s="161">
        <f t="shared" si="84"/>
        <v>500</v>
      </c>
      <c r="F73" s="161">
        <f t="shared" si="84"/>
        <v>500</v>
      </c>
      <c r="G73" s="161">
        <f t="shared" si="84"/>
        <v>500</v>
      </c>
      <c r="H73" s="161">
        <f t="shared" si="84"/>
        <v>500</v>
      </c>
      <c r="I73" s="161">
        <f t="shared" si="84"/>
        <v>500</v>
      </c>
      <c r="J73" s="161">
        <f t="shared" si="84"/>
        <v>500</v>
      </c>
      <c r="K73" s="161">
        <f t="shared" si="84"/>
        <v>500</v>
      </c>
      <c r="L73" s="161">
        <f t="shared" si="84"/>
        <v>500</v>
      </c>
      <c r="M73" s="161">
        <f t="shared" si="84"/>
        <v>500</v>
      </c>
      <c r="N73" s="161">
        <f t="shared" si="81"/>
        <v>6000</v>
      </c>
    </row>
    <row r="74" spans="1:14" x14ac:dyDescent="0.2">
      <c r="A74" s="50" t="str">
        <f t="shared" si="78"/>
        <v>Depreciaciones</v>
      </c>
      <c r="B74" s="161">
        <f t="shared" si="79"/>
        <v>1500</v>
      </c>
      <c r="C74" s="161">
        <f t="shared" ref="C74:M74" si="85">B74</f>
        <v>1500</v>
      </c>
      <c r="D74" s="161">
        <f t="shared" si="85"/>
        <v>1500</v>
      </c>
      <c r="E74" s="161">
        <f t="shared" si="85"/>
        <v>1500</v>
      </c>
      <c r="F74" s="161">
        <f t="shared" si="85"/>
        <v>1500</v>
      </c>
      <c r="G74" s="161">
        <f t="shared" si="85"/>
        <v>1500</v>
      </c>
      <c r="H74" s="161">
        <f t="shared" si="85"/>
        <v>1500</v>
      </c>
      <c r="I74" s="161">
        <f t="shared" si="85"/>
        <v>1500</v>
      </c>
      <c r="J74" s="161">
        <f t="shared" si="85"/>
        <v>1500</v>
      </c>
      <c r="K74" s="161">
        <f t="shared" si="85"/>
        <v>1500</v>
      </c>
      <c r="L74" s="161">
        <f t="shared" si="85"/>
        <v>1500</v>
      </c>
      <c r="M74" s="161">
        <f t="shared" si="85"/>
        <v>1500</v>
      </c>
      <c r="N74" s="161">
        <f t="shared" si="81"/>
        <v>18000</v>
      </c>
    </row>
    <row r="75" spans="1:14" x14ac:dyDescent="0.2">
      <c r="A75" s="50" t="str">
        <f t="shared" si="78"/>
        <v>Energía eléctrica (Pago bimestral)</v>
      </c>
      <c r="B75" s="161">
        <f t="shared" si="79"/>
        <v>700</v>
      </c>
      <c r="C75" s="161">
        <f t="shared" ref="C75:M75" si="86">B75</f>
        <v>700</v>
      </c>
      <c r="D75" s="161">
        <f t="shared" si="86"/>
        <v>700</v>
      </c>
      <c r="E75" s="161">
        <f t="shared" si="86"/>
        <v>700</v>
      </c>
      <c r="F75" s="161">
        <f t="shared" si="86"/>
        <v>700</v>
      </c>
      <c r="G75" s="161">
        <f t="shared" si="86"/>
        <v>700</v>
      </c>
      <c r="H75" s="161">
        <f t="shared" si="86"/>
        <v>700</v>
      </c>
      <c r="I75" s="161">
        <f t="shared" si="86"/>
        <v>700</v>
      </c>
      <c r="J75" s="161">
        <f t="shared" si="86"/>
        <v>700</v>
      </c>
      <c r="K75" s="161">
        <f t="shared" si="86"/>
        <v>700</v>
      </c>
      <c r="L75" s="161">
        <f t="shared" si="86"/>
        <v>700</v>
      </c>
      <c r="M75" s="161">
        <f t="shared" si="86"/>
        <v>700</v>
      </c>
      <c r="N75" s="161">
        <f t="shared" si="81"/>
        <v>8400</v>
      </c>
    </row>
    <row r="76" spans="1:14" x14ac:dyDescent="0.2">
      <c r="A76" s="50" t="str">
        <f t="shared" si="78"/>
        <v>Agua</v>
      </c>
      <c r="B76" s="161">
        <f t="shared" si="79"/>
        <v>400</v>
      </c>
      <c r="C76" s="161">
        <f t="shared" ref="C76:M76" si="87">B76</f>
        <v>400</v>
      </c>
      <c r="D76" s="161">
        <f t="shared" si="87"/>
        <v>400</v>
      </c>
      <c r="E76" s="161">
        <f t="shared" si="87"/>
        <v>400</v>
      </c>
      <c r="F76" s="161">
        <f t="shared" si="87"/>
        <v>400</v>
      </c>
      <c r="G76" s="161">
        <f t="shared" si="87"/>
        <v>400</v>
      </c>
      <c r="H76" s="161">
        <f t="shared" si="87"/>
        <v>400</v>
      </c>
      <c r="I76" s="161">
        <f t="shared" si="87"/>
        <v>400</v>
      </c>
      <c r="J76" s="161">
        <f t="shared" si="87"/>
        <v>400</v>
      </c>
      <c r="K76" s="161">
        <f t="shared" si="87"/>
        <v>400</v>
      </c>
      <c r="L76" s="161">
        <f t="shared" si="87"/>
        <v>400</v>
      </c>
      <c r="M76" s="161">
        <f t="shared" si="87"/>
        <v>400</v>
      </c>
      <c r="N76" s="161">
        <f t="shared" si="81"/>
        <v>4800</v>
      </c>
    </row>
    <row r="77" spans="1:14" x14ac:dyDescent="0.2">
      <c r="A77" s="50" t="str">
        <f t="shared" si="78"/>
        <v>Gas estacionario</v>
      </c>
      <c r="B77" s="161">
        <f t="shared" si="79"/>
        <v>1200</v>
      </c>
      <c r="C77" s="161">
        <f t="shared" ref="C77:M77" si="88">B77</f>
        <v>1200</v>
      </c>
      <c r="D77" s="161">
        <f t="shared" si="88"/>
        <v>1200</v>
      </c>
      <c r="E77" s="161">
        <f t="shared" si="88"/>
        <v>1200</v>
      </c>
      <c r="F77" s="161">
        <f t="shared" si="88"/>
        <v>1200</v>
      </c>
      <c r="G77" s="161">
        <f t="shared" si="88"/>
        <v>1200</v>
      </c>
      <c r="H77" s="161">
        <f t="shared" si="88"/>
        <v>1200</v>
      </c>
      <c r="I77" s="161">
        <f t="shared" si="88"/>
        <v>1200</v>
      </c>
      <c r="J77" s="161">
        <f t="shared" si="88"/>
        <v>1200</v>
      </c>
      <c r="K77" s="161">
        <f t="shared" si="88"/>
        <v>1200</v>
      </c>
      <c r="L77" s="161">
        <f t="shared" si="88"/>
        <v>1200</v>
      </c>
      <c r="M77" s="161">
        <f t="shared" si="88"/>
        <v>1200</v>
      </c>
      <c r="N77" s="161">
        <f t="shared" si="81"/>
        <v>14400</v>
      </c>
    </row>
    <row r="78" spans="1:14" x14ac:dyDescent="0.2">
      <c r="A78" s="50" t="str">
        <f t="shared" si="78"/>
        <v>Limpieza / fumigación</v>
      </c>
      <c r="B78" s="161">
        <f t="shared" si="79"/>
        <v>300</v>
      </c>
      <c r="C78" s="161">
        <f t="shared" ref="C78:M78" si="89">B78</f>
        <v>300</v>
      </c>
      <c r="D78" s="161">
        <f t="shared" si="89"/>
        <v>300</v>
      </c>
      <c r="E78" s="161">
        <f t="shared" si="89"/>
        <v>300</v>
      </c>
      <c r="F78" s="161">
        <f t="shared" si="89"/>
        <v>300</v>
      </c>
      <c r="G78" s="161">
        <f t="shared" si="89"/>
        <v>300</v>
      </c>
      <c r="H78" s="161">
        <f t="shared" si="89"/>
        <v>300</v>
      </c>
      <c r="I78" s="161">
        <f t="shared" si="89"/>
        <v>300</v>
      </c>
      <c r="J78" s="161">
        <f t="shared" si="89"/>
        <v>300</v>
      </c>
      <c r="K78" s="161">
        <f t="shared" si="89"/>
        <v>300</v>
      </c>
      <c r="L78" s="161">
        <f t="shared" si="89"/>
        <v>300</v>
      </c>
      <c r="M78" s="161">
        <f t="shared" si="89"/>
        <v>300</v>
      </c>
      <c r="N78" s="161">
        <f t="shared" si="81"/>
        <v>3600</v>
      </c>
    </row>
    <row r="79" spans="1:14" x14ac:dyDescent="0.2">
      <c r="A79" s="50" t="str">
        <f t="shared" si="78"/>
        <v>Mesero</v>
      </c>
      <c r="B79" s="161">
        <f t="shared" si="79"/>
        <v>20299.32</v>
      </c>
      <c r="C79" s="161">
        <f t="shared" ref="C79:M79" si="90">B79</f>
        <v>20299.32</v>
      </c>
      <c r="D79" s="161">
        <f t="shared" si="90"/>
        <v>20299.32</v>
      </c>
      <c r="E79" s="161">
        <f t="shared" si="90"/>
        <v>20299.32</v>
      </c>
      <c r="F79" s="161">
        <f t="shared" si="90"/>
        <v>20299.32</v>
      </c>
      <c r="G79" s="161">
        <f t="shared" si="90"/>
        <v>20299.32</v>
      </c>
      <c r="H79" s="161">
        <f t="shared" si="90"/>
        <v>20299.32</v>
      </c>
      <c r="I79" s="161">
        <f t="shared" si="90"/>
        <v>20299.32</v>
      </c>
      <c r="J79" s="161">
        <f t="shared" si="90"/>
        <v>20299.32</v>
      </c>
      <c r="K79" s="161">
        <f t="shared" si="90"/>
        <v>20299.32</v>
      </c>
      <c r="L79" s="161">
        <f t="shared" si="90"/>
        <v>20299.32</v>
      </c>
      <c r="M79" s="161">
        <f t="shared" si="90"/>
        <v>20299.32</v>
      </c>
      <c r="N79" s="161">
        <f t="shared" si="81"/>
        <v>243591.84000000005</v>
      </c>
    </row>
    <row r="80" spans="1:14" x14ac:dyDescent="0.2">
      <c r="A80" s="50" t="str">
        <f t="shared" si="78"/>
        <v>Verduras, ensaladas y guarniciones</v>
      </c>
      <c r="B80" s="161">
        <f t="shared" si="79"/>
        <v>6348.32</v>
      </c>
      <c r="C80" s="161">
        <f t="shared" ref="C80:M80" si="91">B80</f>
        <v>6348.32</v>
      </c>
      <c r="D80" s="161">
        <f t="shared" si="91"/>
        <v>6348.32</v>
      </c>
      <c r="E80" s="161">
        <f t="shared" si="91"/>
        <v>6348.32</v>
      </c>
      <c r="F80" s="161">
        <f t="shared" si="91"/>
        <v>6348.32</v>
      </c>
      <c r="G80" s="161">
        <f t="shared" si="91"/>
        <v>6348.32</v>
      </c>
      <c r="H80" s="161">
        <f t="shared" si="91"/>
        <v>6348.32</v>
      </c>
      <c r="I80" s="161">
        <f t="shared" si="91"/>
        <v>6348.32</v>
      </c>
      <c r="J80" s="161">
        <f t="shared" si="91"/>
        <v>6348.32</v>
      </c>
      <c r="K80" s="161">
        <f t="shared" si="91"/>
        <v>6348.32</v>
      </c>
      <c r="L80" s="161">
        <f t="shared" si="91"/>
        <v>6348.32</v>
      </c>
      <c r="M80" s="161">
        <f t="shared" si="91"/>
        <v>6348.32</v>
      </c>
      <c r="N80" s="161">
        <f t="shared" si="81"/>
        <v>76179.839999999997</v>
      </c>
    </row>
    <row r="81" spans="1:14" x14ac:dyDescent="0.2">
      <c r="A81" s="50" t="str">
        <f t="shared" si="78"/>
        <v>Salsas y Járabes</v>
      </c>
      <c r="B81" s="161">
        <f t="shared" si="79"/>
        <v>6348.32</v>
      </c>
      <c r="C81" s="161">
        <f t="shared" ref="C81:M81" si="92">B81</f>
        <v>6348.32</v>
      </c>
      <c r="D81" s="161">
        <f t="shared" si="92"/>
        <v>6348.32</v>
      </c>
      <c r="E81" s="161">
        <f t="shared" si="92"/>
        <v>6348.32</v>
      </c>
      <c r="F81" s="161">
        <f t="shared" si="92"/>
        <v>6348.32</v>
      </c>
      <c r="G81" s="161">
        <f t="shared" si="92"/>
        <v>6348.32</v>
      </c>
      <c r="H81" s="161">
        <f t="shared" si="92"/>
        <v>6348.32</v>
      </c>
      <c r="I81" s="161">
        <f t="shared" si="92"/>
        <v>6348.32</v>
      </c>
      <c r="J81" s="161">
        <f t="shared" si="92"/>
        <v>6348.32</v>
      </c>
      <c r="K81" s="161">
        <f t="shared" si="92"/>
        <v>6348.32</v>
      </c>
      <c r="L81" s="161">
        <f t="shared" si="92"/>
        <v>6348.32</v>
      </c>
      <c r="M81" s="161">
        <f t="shared" si="92"/>
        <v>6348.32</v>
      </c>
      <c r="N81" s="161">
        <f t="shared" si="81"/>
        <v>76179.839999999997</v>
      </c>
    </row>
    <row r="82" spans="1:14" x14ac:dyDescent="0.2">
      <c r="A82" s="50" t="str">
        <f t="shared" si="78"/>
        <v>Coordinador de parrilla</v>
      </c>
      <c r="B82" s="161">
        <f t="shared" si="79"/>
        <v>11106.76</v>
      </c>
      <c r="C82" s="161">
        <f t="shared" ref="C82:M82" si="93">B82</f>
        <v>11106.76</v>
      </c>
      <c r="D82" s="161">
        <f t="shared" si="93"/>
        <v>11106.76</v>
      </c>
      <c r="E82" s="161">
        <f t="shared" si="93"/>
        <v>11106.76</v>
      </c>
      <c r="F82" s="161">
        <f t="shared" si="93"/>
        <v>11106.76</v>
      </c>
      <c r="G82" s="161">
        <f t="shared" si="93"/>
        <v>11106.76</v>
      </c>
      <c r="H82" s="161">
        <f t="shared" si="93"/>
        <v>11106.76</v>
      </c>
      <c r="I82" s="161">
        <f t="shared" si="93"/>
        <v>11106.76</v>
      </c>
      <c r="J82" s="161">
        <f t="shared" si="93"/>
        <v>11106.76</v>
      </c>
      <c r="K82" s="161">
        <f t="shared" si="93"/>
        <v>11106.76</v>
      </c>
      <c r="L82" s="161">
        <f t="shared" si="93"/>
        <v>11106.76</v>
      </c>
      <c r="M82" s="161">
        <f t="shared" si="93"/>
        <v>11106.76</v>
      </c>
      <c r="N82" s="161">
        <f t="shared" si="81"/>
        <v>133281.11999999997</v>
      </c>
    </row>
    <row r="83" spans="1:14" x14ac:dyDescent="0.2">
      <c r="A83" s="50" t="str">
        <f t="shared" si="78"/>
        <v>Parrillero plancha</v>
      </c>
      <c r="B83" s="161">
        <f t="shared" si="79"/>
        <v>8895</v>
      </c>
      <c r="C83" s="161">
        <f t="shared" ref="C83:M83" si="94">B83</f>
        <v>8895</v>
      </c>
      <c r="D83" s="161">
        <f t="shared" si="94"/>
        <v>8895</v>
      </c>
      <c r="E83" s="161">
        <f t="shared" si="94"/>
        <v>8895</v>
      </c>
      <c r="F83" s="161">
        <f t="shared" si="94"/>
        <v>8895</v>
      </c>
      <c r="G83" s="161">
        <f t="shared" si="94"/>
        <v>8895</v>
      </c>
      <c r="H83" s="161">
        <f t="shared" si="94"/>
        <v>8895</v>
      </c>
      <c r="I83" s="161">
        <f t="shared" si="94"/>
        <v>8895</v>
      </c>
      <c r="J83" s="161">
        <f t="shared" si="94"/>
        <v>8895</v>
      </c>
      <c r="K83" s="161">
        <f t="shared" si="94"/>
        <v>8895</v>
      </c>
      <c r="L83" s="161">
        <f t="shared" si="94"/>
        <v>8895</v>
      </c>
      <c r="M83" s="161">
        <f t="shared" si="94"/>
        <v>8895</v>
      </c>
      <c r="N83" s="161">
        <f t="shared" si="81"/>
        <v>106740</v>
      </c>
    </row>
    <row r="84" spans="1:14" x14ac:dyDescent="0.2">
      <c r="A84" s="50" t="str">
        <f t="shared" si="78"/>
        <v>Parrillero vapor</v>
      </c>
      <c r="B84" s="161">
        <f t="shared" si="79"/>
        <v>7862.36</v>
      </c>
      <c r="C84" s="161">
        <f t="shared" ref="C84:M84" si="95">B84</f>
        <v>7862.36</v>
      </c>
      <c r="D84" s="161">
        <f t="shared" si="95"/>
        <v>7862.36</v>
      </c>
      <c r="E84" s="161">
        <f t="shared" si="95"/>
        <v>7862.36</v>
      </c>
      <c r="F84" s="161">
        <f t="shared" si="95"/>
        <v>7862.36</v>
      </c>
      <c r="G84" s="161">
        <f t="shared" si="95"/>
        <v>7862.36</v>
      </c>
      <c r="H84" s="161">
        <f t="shared" si="95"/>
        <v>7862.36</v>
      </c>
      <c r="I84" s="161">
        <f t="shared" si="95"/>
        <v>7862.36</v>
      </c>
      <c r="J84" s="161">
        <f t="shared" si="95"/>
        <v>7862.36</v>
      </c>
      <c r="K84" s="161">
        <f t="shared" si="95"/>
        <v>7862.36</v>
      </c>
      <c r="L84" s="161">
        <f t="shared" si="95"/>
        <v>7862.36</v>
      </c>
      <c r="M84" s="161">
        <f t="shared" si="95"/>
        <v>7862.36</v>
      </c>
      <c r="N84" s="161">
        <f t="shared" si="81"/>
        <v>94348.319999999992</v>
      </c>
    </row>
    <row r="85" spans="1:14" x14ac:dyDescent="0.2">
      <c r="A85" s="50" t="str">
        <f t="shared" si="78"/>
        <v>Pastorero</v>
      </c>
      <c r="B85" s="161">
        <f t="shared" si="79"/>
        <v>8895</v>
      </c>
      <c r="C85" s="161">
        <f t="shared" ref="C85:M85" si="96">B85</f>
        <v>8895</v>
      </c>
      <c r="D85" s="161">
        <f t="shared" si="96"/>
        <v>8895</v>
      </c>
      <c r="E85" s="161">
        <f t="shared" si="96"/>
        <v>8895</v>
      </c>
      <c r="F85" s="161">
        <f t="shared" si="96"/>
        <v>8895</v>
      </c>
      <c r="G85" s="161">
        <f t="shared" si="96"/>
        <v>8895</v>
      </c>
      <c r="H85" s="161">
        <f t="shared" si="96"/>
        <v>8895</v>
      </c>
      <c r="I85" s="161">
        <f t="shared" si="96"/>
        <v>8895</v>
      </c>
      <c r="J85" s="161">
        <f t="shared" si="96"/>
        <v>8895</v>
      </c>
      <c r="K85" s="161">
        <f t="shared" si="96"/>
        <v>8895</v>
      </c>
      <c r="L85" s="161">
        <f t="shared" si="96"/>
        <v>8895</v>
      </c>
      <c r="M85" s="161">
        <f t="shared" si="96"/>
        <v>8895</v>
      </c>
      <c r="N85" s="161">
        <f t="shared" si="81"/>
        <v>106740</v>
      </c>
    </row>
    <row r="86" spans="1:14" x14ac:dyDescent="0.2">
      <c r="A86" s="50" t="str">
        <f t="shared" si="78"/>
        <v>Lavatrastes</v>
      </c>
      <c r="B86" s="161">
        <f t="shared" si="79"/>
        <v>6348.32</v>
      </c>
      <c r="C86" s="161">
        <f t="shared" ref="C86:M86" si="97">B86</f>
        <v>6348.32</v>
      </c>
      <c r="D86" s="161">
        <f t="shared" si="97"/>
        <v>6348.32</v>
      </c>
      <c r="E86" s="161">
        <f t="shared" si="97"/>
        <v>6348.32</v>
      </c>
      <c r="F86" s="161">
        <f t="shared" si="97"/>
        <v>6348.32</v>
      </c>
      <c r="G86" s="161">
        <f t="shared" si="97"/>
        <v>6348.32</v>
      </c>
      <c r="H86" s="161">
        <f t="shared" si="97"/>
        <v>6348.32</v>
      </c>
      <c r="I86" s="161">
        <f t="shared" si="97"/>
        <v>6348.32</v>
      </c>
      <c r="J86" s="161">
        <f t="shared" si="97"/>
        <v>6348.32</v>
      </c>
      <c r="K86" s="161">
        <f t="shared" si="97"/>
        <v>6348.32</v>
      </c>
      <c r="L86" s="161">
        <f t="shared" si="97"/>
        <v>6348.32</v>
      </c>
      <c r="M86" s="161">
        <f t="shared" si="97"/>
        <v>6348.32</v>
      </c>
      <c r="N86" s="161">
        <f t="shared" si="81"/>
        <v>76179.839999999997</v>
      </c>
    </row>
    <row r="87" spans="1:14" x14ac:dyDescent="0.2">
      <c r="A87" s="50" t="str">
        <f t="shared" si="78"/>
        <v>Gerente general</v>
      </c>
      <c r="B87" s="161">
        <f t="shared" si="79"/>
        <v>17263.96</v>
      </c>
      <c r="C87" s="161">
        <f t="shared" ref="C87:M87" si="98">B87</f>
        <v>17263.96</v>
      </c>
      <c r="D87" s="161">
        <f t="shared" si="98"/>
        <v>17263.96</v>
      </c>
      <c r="E87" s="161">
        <f t="shared" si="98"/>
        <v>17263.96</v>
      </c>
      <c r="F87" s="161">
        <f t="shared" si="98"/>
        <v>17263.96</v>
      </c>
      <c r="G87" s="161">
        <f t="shared" si="98"/>
        <v>17263.96</v>
      </c>
      <c r="H87" s="161">
        <f t="shared" si="98"/>
        <v>17263.96</v>
      </c>
      <c r="I87" s="161">
        <f t="shared" si="98"/>
        <v>17263.96</v>
      </c>
      <c r="J87" s="161">
        <f t="shared" si="98"/>
        <v>17263.96</v>
      </c>
      <c r="K87" s="161">
        <f t="shared" si="98"/>
        <v>17263.96</v>
      </c>
      <c r="L87" s="161">
        <f t="shared" si="98"/>
        <v>17263.96</v>
      </c>
      <c r="M87" s="161">
        <f t="shared" si="98"/>
        <v>17263.96</v>
      </c>
      <c r="N87" s="161">
        <f t="shared" si="81"/>
        <v>207167.51999999993</v>
      </c>
    </row>
    <row r="88" spans="1:14" x14ac:dyDescent="0.2">
      <c r="A88" s="50" t="str">
        <f t="shared" si="78"/>
        <v>Asesor</v>
      </c>
      <c r="B88" s="161">
        <f t="shared" si="79"/>
        <v>17204.32</v>
      </c>
      <c r="C88" s="161">
        <f t="shared" ref="C88:M88" si="99">B88</f>
        <v>17204.32</v>
      </c>
      <c r="D88" s="161">
        <f t="shared" si="99"/>
        <v>17204.32</v>
      </c>
      <c r="E88" s="161">
        <f t="shared" si="99"/>
        <v>17204.32</v>
      </c>
      <c r="F88" s="161">
        <f t="shared" si="99"/>
        <v>17204.32</v>
      </c>
      <c r="G88" s="161">
        <f t="shared" si="99"/>
        <v>17204.32</v>
      </c>
      <c r="H88" s="161">
        <f t="shared" si="99"/>
        <v>17204.32</v>
      </c>
      <c r="I88" s="161">
        <f t="shared" si="99"/>
        <v>17204.32</v>
      </c>
      <c r="J88" s="161">
        <f t="shared" si="99"/>
        <v>17204.32</v>
      </c>
      <c r="K88" s="161">
        <f t="shared" si="99"/>
        <v>17204.32</v>
      </c>
      <c r="L88" s="161">
        <f t="shared" si="99"/>
        <v>17204.32</v>
      </c>
      <c r="M88" s="161">
        <f t="shared" si="99"/>
        <v>17204.32</v>
      </c>
      <c r="N88" s="161">
        <f t="shared" si="81"/>
        <v>206451.84000000005</v>
      </c>
    </row>
    <row r="89" spans="1:14" x14ac:dyDescent="0.2">
      <c r="A89" s="50" t="str">
        <f t="shared" si="78"/>
        <v>Cajero</v>
      </c>
      <c r="B89" s="161">
        <f t="shared" si="79"/>
        <v>8377.56</v>
      </c>
      <c r="C89" s="161">
        <f t="shared" ref="C89:M89" si="100">B89</f>
        <v>8377.56</v>
      </c>
      <c r="D89" s="161">
        <f t="shared" si="100"/>
        <v>8377.56</v>
      </c>
      <c r="E89" s="161">
        <f t="shared" si="100"/>
        <v>8377.56</v>
      </c>
      <c r="F89" s="161">
        <f t="shared" si="100"/>
        <v>8377.56</v>
      </c>
      <c r="G89" s="161">
        <f t="shared" si="100"/>
        <v>8377.56</v>
      </c>
      <c r="H89" s="161">
        <f t="shared" si="100"/>
        <v>8377.56</v>
      </c>
      <c r="I89" s="161">
        <f t="shared" si="100"/>
        <v>8377.56</v>
      </c>
      <c r="J89" s="161">
        <f t="shared" si="100"/>
        <v>8377.56</v>
      </c>
      <c r="K89" s="161">
        <f t="shared" si="100"/>
        <v>8377.56</v>
      </c>
      <c r="L89" s="161">
        <f t="shared" si="100"/>
        <v>8377.56</v>
      </c>
      <c r="M89" s="161">
        <f t="shared" si="100"/>
        <v>8377.56</v>
      </c>
      <c r="N89" s="161">
        <f t="shared" si="81"/>
        <v>100530.71999999999</v>
      </c>
    </row>
    <row r="90" spans="1:14" x14ac:dyDescent="0.2">
      <c r="A90" s="50" t="str">
        <f t="shared" si="78"/>
        <v>Contador</v>
      </c>
      <c r="B90" s="161">
        <f t="shared" si="79"/>
        <v>14594.56</v>
      </c>
      <c r="C90" s="161">
        <f t="shared" ref="C90:M90" si="101">B90</f>
        <v>14594.56</v>
      </c>
      <c r="D90" s="161">
        <f t="shared" si="101"/>
        <v>14594.56</v>
      </c>
      <c r="E90" s="161">
        <f t="shared" si="101"/>
        <v>14594.56</v>
      </c>
      <c r="F90" s="161">
        <f t="shared" si="101"/>
        <v>14594.56</v>
      </c>
      <c r="G90" s="161">
        <f t="shared" si="101"/>
        <v>14594.56</v>
      </c>
      <c r="H90" s="161">
        <f t="shared" si="101"/>
        <v>14594.56</v>
      </c>
      <c r="I90" s="161">
        <f t="shared" si="101"/>
        <v>14594.56</v>
      </c>
      <c r="J90" s="161">
        <f t="shared" si="101"/>
        <v>14594.56</v>
      </c>
      <c r="K90" s="161">
        <f t="shared" si="101"/>
        <v>14594.56</v>
      </c>
      <c r="L90" s="161">
        <f t="shared" si="101"/>
        <v>14594.56</v>
      </c>
      <c r="M90" s="161">
        <f t="shared" si="101"/>
        <v>14594.56</v>
      </c>
      <c r="N90" s="161">
        <f t="shared" si="81"/>
        <v>175134.72</v>
      </c>
    </row>
    <row r="91" spans="1:14" x14ac:dyDescent="0.2">
      <c r="A91" s="50" t="str">
        <f t="shared" si="78"/>
        <v>Compras</v>
      </c>
      <c r="B91" s="161">
        <f t="shared" si="79"/>
        <v>15899.44</v>
      </c>
      <c r="C91" s="161">
        <f t="shared" ref="C91:M91" si="102">B91</f>
        <v>15899.44</v>
      </c>
      <c r="D91" s="161">
        <f t="shared" si="102"/>
        <v>15899.44</v>
      </c>
      <c r="E91" s="161">
        <f t="shared" si="102"/>
        <v>15899.44</v>
      </c>
      <c r="F91" s="161">
        <f t="shared" si="102"/>
        <v>15899.44</v>
      </c>
      <c r="G91" s="161">
        <f t="shared" si="102"/>
        <v>15899.44</v>
      </c>
      <c r="H91" s="161">
        <f t="shared" si="102"/>
        <v>15899.44</v>
      </c>
      <c r="I91" s="161">
        <f t="shared" si="102"/>
        <v>15899.44</v>
      </c>
      <c r="J91" s="161">
        <f t="shared" si="102"/>
        <v>15899.44</v>
      </c>
      <c r="K91" s="161">
        <f t="shared" si="102"/>
        <v>15899.44</v>
      </c>
      <c r="L91" s="161">
        <f t="shared" si="102"/>
        <v>15899.44</v>
      </c>
      <c r="M91" s="161">
        <f t="shared" si="102"/>
        <v>15899.44</v>
      </c>
      <c r="N91" s="161">
        <f t="shared" si="81"/>
        <v>190793.28</v>
      </c>
    </row>
    <row r="92" spans="1:14" x14ac:dyDescent="0.2">
      <c r="A92" s="50" t="str">
        <f t="shared" si="78"/>
        <v>Supervisor de envios y calidad</v>
      </c>
      <c r="B92" s="161">
        <f t="shared" si="79"/>
        <v>11984.84</v>
      </c>
      <c r="C92" s="161">
        <f t="shared" ref="C92:M92" si="103">B92</f>
        <v>11984.84</v>
      </c>
      <c r="D92" s="161">
        <f t="shared" si="103"/>
        <v>11984.84</v>
      </c>
      <c r="E92" s="161">
        <f t="shared" si="103"/>
        <v>11984.84</v>
      </c>
      <c r="F92" s="161">
        <f t="shared" si="103"/>
        <v>11984.84</v>
      </c>
      <c r="G92" s="161">
        <f t="shared" si="103"/>
        <v>11984.84</v>
      </c>
      <c r="H92" s="161">
        <f t="shared" si="103"/>
        <v>11984.84</v>
      </c>
      <c r="I92" s="161">
        <f t="shared" si="103"/>
        <v>11984.84</v>
      </c>
      <c r="J92" s="161">
        <f t="shared" si="103"/>
        <v>11984.84</v>
      </c>
      <c r="K92" s="161">
        <f t="shared" si="103"/>
        <v>11984.84</v>
      </c>
      <c r="L92" s="161">
        <f t="shared" si="103"/>
        <v>11984.84</v>
      </c>
      <c r="M92" s="161">
        <f t="shared" si="103"/>
        <v>11984.84</v>
      </c>
      <c r="N92" s="161">
        <f t="shared" si="81"/>
        <v>143818.07999999999</v>
      </c>
    </row>
    <row r="93" spans="1:14" x14ac:dyDescent="0.2">
      <c r="A93" s="50" t="str">
        <f t="shared" si="78"/>
        <v>Seguro social (IMSS)</v>
      </c>
      <c r="B93" s="161">
        <f t="shared" si="79"/>
        <v>3076</v>
      </c>
      <c r="C93" s="161">
        <f t="shared" ref="C93:M93" si="104">B93</f>
        <v>3076</v>
      </c>
      <c r="D93" s="161">
        <f t="shared" si="104"/>
        <v>3076</v>
      </c>
      <c r="E93" s="161">
        <f t="shared" si="104"/>
        <v>3076</v>
      </c>
      <c r="F93" s="161">
        <f t="shared" si="104"/>
        <v>3076</v>
      </c>
      <c r="G93" s="161">
        <f t="shared" si="104"/>
        <v>3076</v>
      </c>
      <c r="H93" s="161">
        <f t="shared" si="104"/>
        <v>3076</v>
      </c>
      <c r="I93" s="161">
        <f t="shared" si="104"/>
        <v>3076</v>
      </c>
      <c r="J93" s="161">
        <f t="shared" si="104"/>
        <v>3076</v>
      </c>
      <c r="K93" s="161">
        <f t="shared" si="104"/>
        <v>3076</v>
      </c>
      <c r="L93" s="161">
        <f t="shared" si="104"/>
        <v>3076</v>
      </c>
      <c r="M93" s="161">
        <f t="shared" si="104"/>
        <v>3076</v>
      </c>
      <c r="N93" s="161">
        <f t="shared" si="81"/>
        <v>36912</v>
      </c>
    </row>
    <row r="94" spans="1:14" x14ac:dyDescent="0.2">
      <c r="A94" s="50" t="str">
        <f t="shared" si="78"/>
        <v>INFONAVIT</v>
      </c>
      <c r="B94" s="161">
        <f t="shared" si="79"/>
        <v>20318.376096</v>
      </c>
      <c r="C94" s="161">
        <f t="shared" ref="C94:M94" si="105">B94</f>
        <v>20318.376096</v>
      </c>
      <c r="D94" s="161">
        <f t="shared" si="105"/>
        <v>20318.376096</v>
      </c>
      <c r="E94" s="161">
        <f t="shared" si="105"/>
        <v>20318.376096</v>
      </c>
      <c r="F94" s="161">
        <f t="shared" si="105"/>
        <v>20318.376096</v>
      </c>
      <c r="G94" s="161">
        <f t="shared" si="105"/>
        <v>20318.376096</v>
      </c>
      <c r="H94" s="161">
        <f t="shared" si="105"/>
        <v>20318.376096</v>
      </c>
      <c r="I94" s="161">
        <f t="shared" si="105"/>
        <v>20318.376096</v>
      </c>
      <c r="J94" s="161">
        <f t="shared" si="105"/>
        <v>20318.376096</v>
      </c>
      <c r="K94" s="161">
        <f t="shared" si="105"/>
        <v>20318.376096</v>
      </c>
      <c r="L94" s="161">
        <f t="shared" si="105"/>
        <v>20318.376096</v>
      </c>
      <c r="M94" s="161">
        <f t="shared" si="105"/>
        <v>20318.376096</v>
      </c>
      <c r="N94" s="161">
        <f t="shared" si="81"/>
        <v>243820.51315199994</v>
      </c>
    </row>
    <row r="95" spans="1:14" x14ac:dyDescent="0.2">
      <c r="A95" s="50" t="str">
        <f t="shared" si="78"/>
        <v>Seguro de retiro y cesantía</v>
      </c>
      <c r="B95" s="161">
        <f t="shared" si="79"/>
        <v>17372.16</v>
      </c>
      <c r="C95" s="161">
        <f t="shared" ref="C95:M95" si="106">B95</f>
        <v>17372.16</v>
      </c>
      <c r="D95" s="161">
        <f t="shared" si="106"/>
        <v>17372.16</v>
      </c>
      <c r="E95" s="161">
        <f t="shared" si="106"/>
        <v>17372.16</v>
      </c>
      <c r="F95" s="161">
        <f t="shared" si="106"/>
        <v>17372.16</v>
      </c>
      <c r="G95" s="161">
        <f t="shared" si="106"/>
        <v>17372.16</v>
      </c>
      <c r="H95" s="161">
        <f t="shared" si="106"/>
        <v>17372.16</v>
      </c>
      <c r="I95" s="161">
        <f t="shared" si="106"/>
        <v>17372.16</v>
      </c>
      <c r="J95" s="161">
        <f t="shared" si="106"/>
        <v>17372.16</v>
      </c>
      <c r="K95" s="161">
        <f t="shared" si="106"/>
        <v>17372.16</v>
      </c>
      <c r="L95" s="161">
        <f t="shared" si="106"/>
        <v>17372.16</v>
      </c>
      <c r="M95" s="161">
        <f t="shared" si="106"/>
        <v>17372.16</v>
      </c>
      <c r="N95" s="161">
        <f t="shared" si="81"/>
        <v>208465.92000000001</v>
      </c>
    </row>
    <row r="96" spans="1:14" x14ac:dyDescent="0.2">
      <c r="A96" s="50" t="str">
        <f t="shared" si="78"/>
        <v>ISR</v>
      </c>
      <c r="B96" s="161">
        <f t="shared" si="79"/>
        <v>5131.68</v>
      </c>
      <c r="C96" s="161">
        <f t="shared" ref="C96:M96" si="107">B96</f>
        <v>5131.68</v>
      </c>
      <c r="D96" s="161">
        <f t="shared" si="107"/>
        <v>5131.68</v>
      </c>
      <c r="E96" s="161">
        <f t="shared" si="107"/>
        <v>5131.68</v>
      </c>
      <c r="F96" s="161">
        <f t="shared" si="107"/>
        <v>5131.68</v>
      </c>
      <c r="G96" s="161">
        <f t="shared" si="107"/>
        <v>5131.68</v>
      </c>
      <c r="H96" s="161">
        <f t="shared" si="107"/>
        <v>5131.68</v>
      </c>
      <c r="I96" s="161">
        <f t="shared" si="107"/>
        <v>5131.68</v>
      </c>
      <c r="J96" s="161">
        <f t="shared" si="107"/>
        <v>5131.68</v>
      </c>
      <c r="K96" s="161">
        <f t="shared" si="107"/>
        <v>5131.68</v>
      </c>
      <c r="L96" s="161">
        <f t="shared" si="107"/>
        <v>5131.68</v>
      </c>
      <c r="M96" s="161">
        <f t="shared" si="107"/>
        <v>5131.68</v>
      </c>
      <c r="N96" s="161">
        <f t="shared" si="81"/>
        <v>61580.160000000003</v>
      </c>
    </row>
    <row r="97" spans="1:14" x14ac:dyDescent="0.2">
      <c r="A97" s="50" t="str">
        <f t="shared" si="78"/>
        <v>Uniformes y protección</v>
      </c>
      <c r="B97" s="161">
        <f t="shared" si="79"/>
        <v>6400</v>
      </c>
      <c r="C97" s="161">
        <f t="shared" ref="C97:M97" si="108">B97</f>
        <v>6400</v>
      </c>
      <c r="D97" s="161">
        <f t="shared" si="108"/>
        <v>6400</v>
      </c>
      <c r="E97" s="161">
        <f t="shared" si="108"/>
        <v>6400</v>
      </c>
      <c r="F97" s="161">
        <f t="shared" si="108"/>
        <v>6400</v>
      </c>
      <c r="G97" s="161">
        <f t="shared" si="108"/>
        <v>6400</v>
      </c>
      <c r="H97" s="161">
        <f t="shared" si="108"/>
        <v>6400</v>
      </c>
      <c r="I97" s="161">
        <f t="shared" si="108"/>
        <v>6400</v>
      </c>
      <c r="J97" s="161">
        <f t="shared" si="108"/>
        <v>6400</v>
      </c>
      <c r="K97" s="161">
        <f t="shared" si="108"/>
        <v>6400</v>
      </c>
      <c r="L97" s="161">
        <f t="shared" si="108"/>
        <v>6400</v>
      </c>
      <c r="M97" s="161">
        <f t="shared" si="108"/>
        <v>6400</v>
      </c>
      <c r="N97" s="161">
        <f t="shared" si="81"/>
        <v>76800</v>
      </c>
    </row>
    <row r="98" spans="1:14" x14ac:dyDescent="0.2">
      <c r="A98" s="50">
        <f t="shared" si="78"/>
        <v>0</v>
      </c>
      <c r="B98" s="161">
        <f t="shared" si="79"/>
        <v>0</v>
      </c>
      <c r="C98" s="161">
        <f t="shared" ref="C98:M98" si="109">B98</f>
        <v>0</v>
      </c>
      <c r="D98" s="161">
        <f t="shared" si="109"/>
        <v>0</v>
      </c>
      <c r="E98" s="161">
        <f t="shared" si="109"/>
        <v>0</v>
      </c>
      <c r="F98" s="161">
        <f t="shared" si="109"/>
        <v>0</v>
      </c>
      <c r="G98" s="161">
        <f t="shared" si="109"/>
        <v>0</v>
      </c>
      <c r="H98" s="161">
        <f t="shared" si="109"/>
        <v>0</v>
      </c>
      <c r="I98" s="161">
        <f t="shared" si="109"/>
        <v>0</v>
      </c>
      <c r="J98" s="161">
        <f t="shared" si="109"/>
        <v>0</v>
      </c>
      <c r="K98" s="161">
        <f t="shared" si="109"/>
        <v>0</v>
      </c>
      <c r="L98" s="161">
        <f t="shared" si="109"/>
        <v>0</v>
      </c>
      <c r="M98" s="161">
        <f t="shared" si="109"/>
        <v>0</v>
      </c>
      <c r="N98" s="161">
        <f t="shared" si="81"/>
        <v>0</v>
      </c>
    </row>
    <row r="99" spans="1:14" x14ac:dyDescent="0.2">
      <c r="A99" s="50">
        <f t="shared" si="78"/>
        <v>0</v>
      </c>
      <c r="B99" s="161">
        <f t="shared" si="79"/>
        <v>0</v>
      </c>
      <c r="C99" s="161">
        <f t="shared" ref="C99:M99" si="110">B99</f>
        <v>0</v>
      </c>
      <c r="D99" s="161">
        <f t="shared" si="110"/>
        <v>0</v>
      </c>
      <c r="E99" s="161">
        <f t="shared" si="110"/>
        <v>0</v>
      </c>
      <c r="F99" s="161">
        <f t="shared" si="110"/>
        <v>0</v>
      </c>
      <c r="G99" s="161">
        <f t="shared" si="110"/>
        <v>0</v>
      </c>
      <c r="H99" s="161">
        <f t="shared" si="110"/>
        <v>0</v>
      </c>
      <c r="I99" s="161">
        <f t="shared" si="110"/>
        <v>0</v>
      </c>
      <c r="J99" s="161">
        <f t="shared" si="110"/>
        <v>0</v>
      </c>
      <c r="K99" s="161">
        <f t="shared" si="110"/>
        <v>0</v>
      </c>
      <c r="L99" s="161">
        <f t="shared" si="110"/>
        <v>0</v>
      </c>
      <c r="M99" s="161">
        <f t="shared" si="110"/>
        <v>0</v>
      </c>
      <c r="N99" s="161">
        <f t="shared" si="81"/>
        <v>0</v>
      </c>
    </row>
    <row r="100" spans="1:14" x14ac:dyDescent="0.2">
      <c r="A100" s="50">
        <f t="shared" si="78"/>
        <v>0</v>
      </c>
      <c r="B100" s="161">
        <f t="shared" si="79"/>
        <v>0</v>
      </c>
      <c r="C100" s="161">
        <f t="shared" ref="C100:M100" si="111">B100</f>
        <v>0</v>
      </c>
      <c r="D100" s="161">
        <f t="shared" si="111"/>
        <v>0</v>
      </c>
      <c r="E100" s="161">
        <f t="shared" si="111"/>
        <v>0</v>
      </c>
      <c r="F100" s="161">
        <f t="shared" si="111"/>
        <v>0</v>
      </c>
      <c r="G100" s="161">
        <f t="shared" si="111"/>
        <v>0</v>
      </c>
      <c r="H100" s="161">
        <f t="shared" si="111"/>
        <v>0</v>
      </c>
      <c r="I100" s="161">
        <f t="shared" si="111"/>
        <v>0</v>
      </c>
      <c r="J100" s="161">
        <f t="shared" si="111"/>
        <v>0</v>
      </c>
      <c r="K100" s="161">
        <f t="shared" si="111"/>
        <v>0</v>
      </c>
      <c r="L100" s="161">
        <f t="shared" si="111"/>
        <v>0</v>
      </c>
      <c r="M100" s="161">
        <f t="shared" si="111"/>
        <v>0</v>
      </c>
      <c r="N100" s="161">
        <f t="shared" si="81"/>
        <v>0</v>
      </c>
    </row>
    <row r="101" spans="1:14" x14ac:dyDescent="0.2">
      <c r="A101" s="50" t="str">
        <f t="shared" si="78"/>
        <v>Mantenimiento de equipo</v>
      </c>
      <c r="B101" s="161">
        <f t="shared" si="79"/>
        <v>300</v>
      </c>
      <c r="C101" s="161">
        <f t="shared" ref="C101:M101" si="112">B101</f>
        <v>300</v>
      </c>
      <c r="D101" s="161">
        <f t="shared" si="112"/>
        <v>300</v>
      </c>
      <c r="E101" s="161">
        <f t="shared" si="112"/>
        <v>300</v>
      </c>
      <c r="F101" s="161">
        <f t="shared" si="112"/>
        <v>300</v>
      </c>
      <c r="G101" s="161">
        <f t="shared" si="112"/>
        <v>300</v>
      </c>
      <c r="H101" s="161">
        <f t="shared" si="112"/>
        <v>300</v>
      </c>
      <c r="I101" s="161">
        <f t="shared" si="112"/>
        <v>300</v>
      </c>
      <c r="J101" s="161">
        <f t="shared" si="112"/>
        <v>300</v>
      </c>
      <c r="K101" s="161">
        <f t="shared" si="112"/>
        <v>300</v>
      </c>
      <c r="L101" s="161">
        <f t="shared" si="112"/>
        <v>300</v>
      </c>
      <c r="M101" s="161">
        <f t="shared" si="112"/>
        <v>300</v>
      </c>
      <c r="N101" s="161">
        <f t="shared" si="81"/>
        <v>3600</v>
      </c>
    </row>
    <row r="102" spans="1:14" x14ac:dyDescent="0.2">
      <c r="A102" s="50" t="str">
        <f t="shared" si="78"/>
        <v>Sustitución de mobiliario</v>
      </c>
      <c r="B102" s="161">
        <f t="shared" si="79"/>
        <v>200</v>
      </c>
      <c r="C102" s="161">
        <f t="shared" ref="C102:M102" si="113">B102</f>
        <v>200</v>
      </c>
      <c r="D102" s="161">
        <f t="shared" si="113"/>
        <v>200</v>
      </c>
      <c r="E102" s="161">
        <f t="shared" si="113"/>
        <v>200</v>
      </c>
      <c r="F102" s="161">
        <f t="shared" si="113"/>
        <v>200</v>
      </c>
      <c r="G102" s="161">
        <f t="shared" si="113"/>
        <v>200</v>
      </c>
      <c r="H102" s="161">
        <f t="shared" si="113"/>
        <v>200</v>
      </c>
      <c r="I102" s="161">
        <f t="shared" si="113"/>
        <v>200</v>
      </c>
      <c r="J102" s="161">
        <f t="shared" si="113"/>
        <v>200</v>
      </c>
      <c r="K102" s="161">
        <f t="shared" si="113"/>
        <v>200</v>
      </c>
      <c r="L102" s="161">
        <f t="shared" si="113"/>
        <v>200</v>
      </c>
      <c r="M102" s="161">
        <f t="shared" si="113"/>
        <v>200</v>
      </c>
      <c r="N102" s="161">
        <f t="shared" si="81"/>
        <v>2400</v>
      </c>
    </row>
    <row r="103" spans="1:14" x14ac:dyDescent="0.2">
      <c r="A103" s="50" t="str">
        <f t="shared" si="78"/>
        <v>Herramientas menores</v>
      </c>
      <c r="B103" s="161">
        <f t="shared" si="79"/>
        <v>250</v>
      </c>
      <c r="C103" s="161">
        <f t="shared" ref="C103:M103" si="114">B103</f>
        <v>250</v>
      </c>
      <c r="D103" s="161">
        <f t="shared" si="114"/>
        <v>250</v>
      </c>
      <c r="E103" s="161">
        <f t="shared" si="114"/>
        <v>250</v>
      </c>
      <c r="F103" s="161">
        <f t="shared" si="114"/>
        <v>250</v>
      </c>
      <c r="G103" s="161">
        <f t="shared" si="114"/>
        <v>250</v>
      </c>
      <c r="H103" s="161">
        <f t="shared" si="114"/>
        <v>250</v>
      </c>
      <c r="I103" s="161">
        <f t="shared" si="114"/>
        <v>250</v>
      </c>
      <c r="J103" s="161">
        <f t="shared" si="114"/>
        <v>250</v>
      </c>
      <c r="K103" s="161">
        <f t="shared" si="114"/>
        <v>250</v>
      </c>
      <c r="L103" s="161">
        <f t="shared" si="114"/>
        <v>250</v>
      </c>
      <c r="M103" s="161">
        <f t="shared" si="114"/>
        <v>250</v>
      </c>
      <c r="N103" s="161">
        <f t="shared" si="81"/>
        <v>3000</v>
      </c>
    </row>
    <row r="104" spans="1:14" x14ac:dyDescent="0.2">
      <c r="A104" s="50" t="str">
        <f t="shared" si="78"/>
        <v>Pintura / remodelaciones</v>
      </c>
      <c r="B104" s="161">
        <f t="shared" si="79"/>
        <v>150</v>
      </c>
      <c r="C104" s="161">
        <f t="shared" ref="C104:M104" si="115">B104</f>
        <v>150</v>
      </c>
      <c r="D104" s="161">
        <f t="shared" si="115"/>
        <v>150</v>
      </c>
      <c r="E104" s="161">
        <f t="shared" si="115"/>
        <v>150</v>
      </c>
      <c r="F104" s="161">
        <f t="shared" si="115"/>
        <v>150</v>
      </c>
      <c r="G104" s="161">
        <f t="shared" si="115"/>
        <v>150</v>
      </c>
      <c r="H104" s="161">
        <f t="shared" si="115"/>
        <v>150</v>
      </c>
      <c r="I104" s="161">
        <f t="shared" si="115"/>
        <v>150</v>
      </c>
      <c r="J104" s="161">
        <f t="shared" si="115"/>
        <v>150</v>
      </c>
      <c r="K104" s="161">
        <f t="shared" si="115"/>
        <v>150</v>
      </c>
      <c r="L104" s="161">
        <f t="shared" si="115"/>
        <v>150</v>
      </c>
      <c r="M104" s="161">
        <f t="shared" si="115"/>
        <v>150</v>
      </c>
      <c r="N104" s="161">
        <f t="shared" si="81"/>
        <v>1800</v>
      </c>
    </row>
    <row r="105" spans="1:14" x14ac:dyDescent="0.2">
      <c r="A105" s="50" t="str">
        <f t="shared" si="78"/>
        <v>Repuestos / accesorios</v>
      </c>
      <c r="B105" s="161">
        <f t="shared" si="79"/>
        <v>100</v>
      </c>
      <c r="C105" s="161">
        <f t="shared" ref="C105:M105" si="116">B105</f>
        <v>100</v>
      </c>
      <c r="D105" s="161">
        <f t="shared" si="116"/>
        <v>100</v>
      </c>
      <c r="E105" s="161">
        <f t="shared" si="116"/>
        <v>100</v>
      </c>
      <c r="F105" s="161">
        <f t="shared" si="116"/>
        <v>100</v>
      </c>
      <c r="G105" s="161">
        <f t="shared" si="116"/>
        <v>100</v>
      </c>
      <c r="H105" s="161">
        <f t="shared" si="116"/>
        <v>100</v>
      </c>
      <c r="I105" s="161">
        <f t="shared" si="116"/>
        <v>100</v>
      </c>
      <c r="J105" s="161">
        <f t="shared" si="116"/>
        <v>100</v>
      </c>
      <c r="K105" s="161">
        <f t="shared" si="116"/>
        <v>100</v>
      </c>
      <c r="L105" s="161">
        <f t="shared" si="116"/>
        <v>100</v>
      </c>
      <c r="M105" s="161">
        <f t="shared" si="116"/>
        <v>100</v>
      </c>
      <c r="N105" s="161">
        <f t="shared" si="81"/>
        <v>1200</v>
      </c>
    </row>
    <row r="106" spans="1:14" x14ac:dyDescent="0.2">
      <c r="A106" s="64" t="s">
        <v>107</v>
      </c>
      <c r="B106" s="65">
        <f t="shared" ref="B106:N106" si="117">+B69+B57</f>
        <v>408400.20235911204</v>
      </c>
      <c r="C106" s="65">
        <f t="shared" si="117"/>
        <v>412419.75728437433</v>
      </c>
      <c r="D106" s="65">
        <f t="shared" si="117"/>
        <v>408319.81126060686</v>
      </c>
      <c r="E106" s="65">
        <f t="shared" si="117"/>
        <v>414346.73191554507</v>
      </c>
      <c r="F106" s="65">
        <f t="shared" si="117"/>
        <v>418485.21743193583</v>
      </c>
      <c r="G106" s="65">
        <f t="shared" si="117"/>
        <v>412153.33459185786</v>
      </c>
      <c r="H106" s="65">
        <f t="shared" si="117"/>
        <v>410106.0258068993</v>
      </c>
      <c r="I106" s="65">
        <f t="shared" si="117"/>
        <v>414159.69720111717</v>
      </c>
      <c r="J106" s="65">
        <f t="shared" si="117"/>
        <v>410024.95237901493</v>
      </c>
      <c r="K106" s="65">
        <f t="shared" si="117"/>
        <v>407998.9274161848</v>
      </c>
      <c r="L106" s="65">
        <f t="shared" si="117"/>
        <v>412010.45684258849</v>
      </c>
      <c r="M106" s="65">
        <f t="shared" si="117"/>
        <v>416102.21685752028</v>
      </c>
      <c r="N106" s="65">
        <f t="shared" si="117"/>
        <v>4944527.3313467558</v>
      </c>
    </row>
    <row r="108" spans="1:14" ht="15.75" x14ac:dyDescent="0.25">
      <c r="A108" s="665" t="s">
        <v>249</v>
      </c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  <c r="M108" s="665"/>
      <c r="N108" s="665"/>
    </row>
    <row r="109" spans="1:14" ht="15.75" x14ac:dyDescent="0.25">
      <c r="A109" s="61" t="s">
        <v>104</v>
      </c>
      <c r="B109" s="5">
        <v>1</v>
      </c>
      <c r="C109" s="5">
        <v>2</v>
      </c>
      <c r="D109" s="5">
        <v>3</v>
      </c>
      <c r="E109" s="5">
        <v>4</v>
      </c>
      <c r="F109" s="5">
        <v>5</v>
      </c>
      <c r="G109" s="5">
        <v>6</v>
      </c>
      <c r="H109" s="5">
        <v>7</v>
      </c>
      <c r="I109" s="5">
        <v>8</v>
      </c>
      <c r="J109" s="5">
        <v>9</v>
      </c>
      <c r="K109" s="5">
        <v>10</v>
      </c>
      <c r="L109" s="5">
        <v>11</v>
      </c>
      <c r="M109" s="5">
        <v>12</v>
      </c>
      <c r="N109" s="5" t="s">
        <v>26</v>
      </c>
    </row>
    <row r="110" spans="1:14" ht="15.75" x14ac:dyDescent="0.25">
      <c r="A110" s="62" t="s">
        <v>105</v>
      </c>
      <c r="B110" s="66">
        <f t="shared" ref="B110:N110" si="118">SUM(B111:B121)</f>
        <v>208679.76076152027</v>
      </c>
      <c r="C110" s="66">
        <f t="shared" si="118"/>
        <v>212853.35597675067</v>
      </c>
      <c r="D110" s="66">
        <f t="shared" si="118"/>
        <v>208596.28885721558</v>
      </c>
      <c r="E110" s="66">
        <f t="shared" si="118"/>
        <v>214854.17752293212</v>
      </c>
      <c r="F110" s="66">
        <f t="shared" si="118"/>
        <v>219151.26107339072</v>
      </c>
      <c r="G110" s="66">
        <f t="shared" si="118"/>
        <v>212576.72324118903</v>
      </c>
      <c r="H110" s="66">
        <f t="shared" si="118"/>
        <v>210450.95600877717</v>
      </c>
      <c r="I110" s="66">
        <f t="shared" si="118"/>
        <v>214659.97512895265</v>
      </c>
      <c r="J110" s="66">
        <f t="shared" si="118"/>
        <v>210366.77562637362</v>
      </c>
      <c r="K110" s="66">
        <f t="shared" si="118"/>
        <v>208263.1078701099</v>
      </c>
      <c r="L110" s="66">
        <f t="shared" si="118"/>
        <v>212428.37002751208</v>
      </c>
      <c r="M110" s="66">
        <f t="shared" si="118"/>
        <v>216676.93742806235</v>
      </c>
      <c r="N110" s="66">
        <f t="shared" si="118"/>
        <v>2549557.6895227861</v>
      </c>
    </row>
    <row r="111" spans="1:14" x14ac:dyDescent="0.2">
      <c r="A111" s="19" t="str">
        <f t="shared" ref="A111:A121" si="119">A58</f>
        <v xml:space="preserve">Carne de cerdo adobada al pastor </v>
      </c>
      <c r="B111" s="154">
        <f t="shared" ref="B111:B121" si="120">M58</f>
        <v>122905.00478824813</v>
      </c>
      <c r="C111" s="118">
        <f t="shared" ref="C111:C121" si="121">B111*1.02</f>
        <v>125363.1048840131</v>
      </c>
      <c r="D111" s="118">
        <f t="shared" ref="D111:D121" si="122">C111*0.98</f>
        <v>122855.84278633284</v>
      </c>
      <c r="E111" s="118">
        <f t="shared" ref="E111:E121" si="123">D111*1.03</f>
        <v>126541.51806992282</v>
      </c>
      <c r="F111" s="118">
        <f t="shared" ref="F111:F121" si="124">E111*1.02</f>
        <v>129072.34843132128</v>
      </c>
      <c r="G111" s="118">
        <f t="shared" ref="G111:G121" si="125">F111*0.97</f>
        <v>125200.17797838165</v>
      </c>
      <c r="H111" s="118">
        <f t="shared" ref="H111:H121" si="126">G111*0.99</f>
        <v>123948.17619859782</v>
      </c>
      <c r="I111" s="118">
        <f t="shared" ref="I111:I121" si="127">H111*1.02</f>
        <v>126427.13972256979</v>
      </c>
      <c r="J111" s="118">
        <f t="shared" ref="J111:J121" si="128">I111*0.98</f>
        <v>123898.59692811839</v>
      </c>
      <c r="K111" s="118">
        <f t="shared" ref="K111:K121" si="129">J111*0.99</f>
        <v>122659.61095883721</v>
      </c>
      <c r="L111" s="118">
        <f t="shared" ref="L111:L121" si="130">K111*1.02</f>
        <v>125112.80317801396</v>
      </c>
      <c r="M111" s="118">
        <f t="shared" ref="M111:M121" si="131">1.02*L111</f>
        <v>127615.05924157424</v>
      </c>
      <c r="N111" s="156">
        <f t="shared" ref="N111:N121" si="132">SUM(B111:M111)</f>
        <v>1501599.3831659313</v>
      </c>
    </row>
    <row r="112" spans="1:14" x14ac:dyDescent="0.2">
      <c r="A112" s="19" t="str">
        <f t="shared" si="119"/>
        <v>Tortilla de maíz</v>
      </c>
      <c r="B112" s="154">
        <f t="shared" si="120"/>
        <v>4916.2001915299261</v>
      </c>
      <c r="C112" s="118">
        <f t="shared" si="121"/>
        <v>5014.5241953605246</v>
      </c>
      <c r="D112" s="118">
        <f t="shared" si="122"/>
        <v>4914.2337114533138</v>
      </c>
      <c r="E112" s="118">
        <f t="shared" si="123"/>
        <v>5061.6607227969134</v>
      </c>
      <c r="F112" s="118">
        <f t="shared" si="124"/>
        <v>5162.8939372528521</v>
      </c>
      <c r="G112" s="118">
        <f t="shared" si="125"/>
        <v>5008.0071191352663</v>
      </c>
      <c r="H112" s="118">
        <f t="shared" si="126"/>
        <v>4957.9270479439137</v>
      </c>
      <c r="I112" s="118">
        <f t="shared" si="127"/>
        <v>5057.0855889027926</v>
      </c>
      <c r="J112" s="118">
        <f t="shared" si="128"/>
        <v>4955.9438771247369</v>
      </c>
      <c r="K112" s="118">
        <f t="shared" si="129"/>
        <v>4906.3844383534897</v>
      </c>
      <c r="L112" s="118">
        <f t="shared" si="130"/>
        <v>5004.5121271205599</v>
      </c>
      <c r="M112" s="118">
        <f t="shared" si="131"/>
        <v>5104.6023696629709</v>
      </c>
      <c r="N112" s="156">
        <f t="shared" si="132"/>
        <v>60063.975326637257</v>
      </c>
    </row>
    <row r="113" spans="1:14" x14ac:dyDescent="0.2">
      <c r="A113" s="19" t="str">
        <f t="shared" si="119"/>
        <v>Piña</v>
      </c>
      <c r="B113" s="154">
        <f t="shared" si="120"/>
        <v>2587.4737850157499</v>
      </c>
      <c r="C113" s="118">
        <f t="shared" si="121"/>
        <v>2639.2232607160649</v>
      </c>
      <c r="D113" s="118">
        <f t="shared" si="122"/>
        <v>2586.4387955017437</v>
      </c>
      <c r="E113" s="118">
        <f t="shared" si="123"/>
        <v>2664.0319593667959</v>
      </c>
      <c r="F113" s="118">
        <f t="shared" si="124"/>
        <v>2717.3125985541319</v>
      </c>
      <c r="G113" s="118">
        <f t="shared" si="125"/>
        <v>2635.793220597508</v>
      </c>
      <c r="H113" s="118">
        <f t="shared" si="126"/>
        <v>2609.435288391533</v>
      </c>
      <c r="I113" s="118">
        <f t="shared" si="127"/>
        <v>2661.623994159364</v>
      </c>
      <c r="J113" s="118">
        <f t="shared" si="128"/>
        <v>2608.3915142761766</v>
      </c>
      <c r="K113" s="118">
        <f t="shared" si="129"/>
        <v>2582.3075991334149</v>
      </c>
      <c r="L113" s="118">
        <f t="shared" si="130"/>
        <v>2633.9537511160834</v>
      </c>
      <c r="M113" s="118">
        <f t="shared" si="131"/>
        <v>2686.6328261384051</v>
      </c>
      <c r="N113" s="156">
        <f t="shared" si="132"/>
        <v>31612.618592966974</v>
      </c>
    </row>
    <row r="114" spans="1:14" x14ac:dyDescent="0.2">
      <c r="A114" s="19" t="str">
        <f t="shared" si="119"/>
        <v>Cebolla</v>
      </c>
      <c r="B114" s="154">
        <f t="shared" si="120"/>
        <v>1293.7368925078749</v>
      </c>
      <c r="C114" s="118">
        <f t="shared" si="121"/>
        <v>1319.6116303580325</v>
      </c>
      <c r="D114" s="118">
        <f t="shared" si="122"/>
        <v>1293.2193977508718</v>
      </c>
      <c r="E114" s="118">
        <f t="shared" si="123"/>
        <v>1332.015979683398</v>
      </c>
      <c r="F114" s="118">
        <f t="shared" si="124"/>
        <v>1358.656299277066</v>
      </c>
      <c r="G114" s="118">
        <f t="shared" si="125"/>
        <v>1317.896610298754</v>
      </c>
      <c r="H114" s="118">
        <f t="shared" si="126"/>
        <v>1304.7176441957665</v>
      </c>
      <c r="I114" s="118">
        <f t="shared" si="127"/>
        <v>1330.811997079682</v>
      </c>
      <c r="J114" s="118">
        <f t="shared" si="128"/>
        <v>1304.1957571380883</v>
      </c>
      <c r="K114" s="118">
        <f t="shared" si="129"/>
        <v>1291.1537995667074</v>
      </c>
      <c r="L114" s="118">
        <f t="shared" si="130"/>
        <v>1316.9768755580417</v>
      </c>
      <c r="M114" s="118">
        <f t="shared" si="131"/>
        <v>1343.3164130692026</v>
      </c>
      <c r="N114" s="156">
        <f t="shared" si="132"/>
        <v>15806.309296483487</v>
      </c>
    </row>
    <row r="115" spans="1:14" x14ac:dyDescent="0.2">
      <c r="A115" s="19" t="str">
        <f t="shared" si="119"/>
        <v>Cilantro</v>
      </c>
      <c r="B115" s="154">
        <f t="shared" si="120"/>
        <v>1293.7368925078749</v>
      </c>
      <c r="C115" s="118">
        <f t="shared" si="121"/>
        <v>1319.6116303580325</v>
      </c>
      <c r="D115" s="118">
        <f t="shared" si="122"/>
        <v>1293.2193977508718</v>
      </c>
      <c r="E115" s="118">
        <f t="shared" si="123"/>
        <v>1332.015979683398</v>
      </c>
      <c r="F115" s="118">
        <f t="shared" si="124"/>
        <v>1358.656299277066</v>
      </c>
      <c r="G115" s="118">
        <f t="shared" si="125"/>
        <v>1317.896610298754</v>
      </c>
      <c r="H115" s="118">
        <f t="shared" si="126"/>
        <v>1304.7176441957665</v>
      </c>
      <c r="I115" s="118">
        <f t="shared" si="127"/>
        <v>1330.811997079682</v>
      </c>
      <c r="J115" s="118">
        <f t="shared" si="128"/>
        <v>1304.1957571380883</v>
      </c>
      <c r="K115" s="118">
        <f t="shared" si="129"/>
        <v>1291.1537995667074</v>
      </c>
      <c r="L115" s="118">
        <f t="shared" si="130"/>
        <v>1316.9768755580417</v>
      </c>
      <c r="M115" s="118">
        <f t="shared" si="131"/>
        <v>1343.3164130692026</v>
      </c>
      <c r="N115" s="156">
        <f t="shared" si="132"/>
        <v>15806.309296483487</v>
      </c>
    </row>
    <row r="116" spans="1:14" x14ac:dyDescent="0.2">
      <c r="A116" s="19" t="str">
        <f t="shared" si="119"/>
        <v xml:space="preserve">Carne de cerdo marinada estilo oriental </v>
      </c>
      <c r="B116" s="154">
        <f t="shared" si="120"/>
        <v>48515.133469045315</v>
      </c>
      <c r="C116" s="118">
        <f t="shared" si="121"/>
        <v>49485.436138426223</v>
      </c>
      <c r="D116" s="118">
        <f t="shared" si="122"/>
        <v>48495.727415657697</v>
      </c>
      <c r="E116" s="118">
        <f t="shared" si="123"/>
        <v>49950.599238127426</v>
      </c>
      <c r="F116" s="118">
        <f t="shared" si="124"/>
        <v>50949.611222889973</v>
      </c>
      <c r="G116" s="118">
        <f t="shared" si="125"/>
        <v>49421.122886203273</v>
      </c>
      <c r="H116" s="118">
        <f t="shared" si="126"/>
        <v>48926.911657341239</v>
      </c>
      <c r="I116" s="118">
        <f t="shared" si="127"/>
        <v>49905.449890488067</v>
      </c>
      <c r="J116" s="118">
        <f t="shared" si="128"/>
        <v>48907.340892678309</v>
      </c>
      <c r="K116" s="118">
        <f t="shared" si="129"/>
        <v>48418.267483751522</v>
      </c>
      <c r="L116" s="118">
        <f t="shared" si="130"/>
        <v>49386.632833426556</v>
      </c>
      <c r="M116" s="118">
        <f t="shared" si="131"/>
        <v>50374.365490095086</v>
      </c>
      <c r="N116" s="156">
        <f t="shared" si="132"/>
        <v>592736.59861813067</v>
      </c>
    </row>
    <row r="117" spans="1:14" x14ac:dyDescent="0.2">
      <c r="A117" s="19" t="str">
        <f t="shared" si="119"/>
        <v>Pan árabe (Pita)</v>
      </c>
      <c r="B117" s="154">
        <f t="shared" si="120"/>
        <v>3881.2106775236243</v>
      </c>
      <c r="C117" s="118">
        <f t="shared" si="121"/>
        <v>3958.834891074097</v>
      </c>
      <c r="D117" s="118">
        <f t="shared" si="122"/>
        <v>3879.6581932526151</v>
      </c>
      <c r="E117" s="118">
        <f t="shared" si="123"/>
        <v>3996.0479390501937</v>
      </c>
      <c r="F117" s="118">
        <f t="shared" si="124"/>
        <v>4075.9688978311974</v>
      </c>
      <c r="G117" s="118">
        <f t="shared" si="125"/>
        <v>3953.6898308962614</v>
      </c>
      <c r="H117" s="118">
        <f t="shared" si="126"/>
        <v>3914.1529325872989</v>
      </c>
      <c r="I117" s="118">
        <f t="shared" si="127"/>
        <v>3992.4359912390451</v>
      </c>
      <c r="J117" s="118">
        <f t="shared" si="128"/>
        <v>3912.5872714142643</v>
      </c>
      <c r="K117" s="118">
        <f t="shared" si="129"/>
        <v>3873.4613987001217</v>
      </c>
      <c r="L117" s="118">
        <f t="shared" si="130"/>
        <v>3950.9306266741241</v>
      </c>
      <c r="M117" s="118">
        <f t="shared" si="131"/>
        <v>4029.9492392076068</v>
      </c>
      <c r="N117" s="156">
        <f t="shared" si="132"/>
        <v>47418.927889450453</v>
      </c>
    </row>
    <row r="118" spans="1:14" x14ac:dyDescent="0.2">
      <c r="A118" s="19" t="str">
        <f t="shared" si="119"/>
        <v>Tocino</v>
      </c>
      <c r="B118" s="154">
        <f t="shared" si="120"/>
        <v>13584.237371332682</v>
      </c>
      <c r="C118" s="118">
        <f t="shared" si="121"/>
        <v>13855.922118759336</v>
      </c>
      <c r="D118" s="118">
        <f t="shared" si="122"/>
        <v>13578.803676384148</v>
      </c>
      <c r="E118" s="118">
        <f t="shared" si="123"/>
        <v>13986.167786675673</v>
      </c>
      <c r="F118" s="118">
        <f t="shared" si="124"/>
        <v>14265.891142409186</v>
      </c>
      <c r="G118" s="118">
        <f t="shared" si="125"/>
        <v>13837.91440813691</v>
      </c>
      <c r="H118" s="118">
        <f t="shared" si="126"/>
        <v>13699.535264055541</v>
      </c>
      <c r="I118" s="118">
        <f t="shared" si="127"/>
        <v>13973.525969336652</v>
      </c>
      <c r="J118" s="118">
        <f t="shared" si="128"/>
        <v>13694.055449949918</v>
      </c>
      <c r="K118" s="118">
        <f t="shared" si="129"/>
        <v>13557.114895450419</v>
      </c>
      <c r="L118" s="118">
        <f t="shared" si="130"/>
        <v>13828.257193359428</v>
      </c>
      <c r="M118" s="118">
        <f t="shared" si="131"/>
        <v>14104.822337226617</v>
      </c>
      <c r="N118" s="156">
        <f t="shared" si="132"/>
        <v>165966.24761307653</v>
      </c>
    </row>
    <row r="119" spans="1:14" x14ac:dyDescent="0.2">
      <c r="A119" s="19" t="str">
        <f t="shared" si="119"/>
        <v>Chile poblano</v>
      </c>
      <c r="B119" s="154">
        <f t="shared" si="120"/>
        <v>3881.2106775236243</v>
      </c>
      <c r="C119" s="118">
        <f t="shared" si="121"/>
        <v>3958.834891074097</v>
      </c>
      <c r="D119" s="118">
        <f t="shared" si="122"/>
        <v>3879.6581932526151</v>
      </c>
      <c r="E119" s="118">
        <f t="shared" si="123"/>
        <v>3996.0479390501937</v>
      </c>
      <c r="F119" s="118">
        <f t="shared" si="124"/>
        <v>4075.9688978311974</v>
      </c>
      <c r="G119" s="118">
        <f t="shared" si="125"/>
        <v>3953.6898308962614</v>
      </c>
      <c r="H119" s="118">
        <f t="shared" si="126"/>
        <v>3914.1529325872989</v>
      </c>
      <c r="I119" s="118">
        <f t="shared" si="127"/>
        <v>3992.4359912390451</v>
      </c>
      <c r="J119" s="118">
        <f t="shared" si="128"/>
        <v>3912.5872714142643</v>
      </c>
      <c r="K119" s="118">
        <f t="shared" si="129"/>
        <v>3873.4613987001217</v>
      </c>
      <c r="L119" s="118">
        <f t="shared" si="130"/>
        <v>3950.9306266741241</v>
      </c>
      <c r="M119" s="118">
        <f t="shared" si="131"/>
        <v>4029.9492392076068</v>
      </c>
      <c r="N119" s="156">
        <f t="shared" si="132"/>
        <v>47418.927889450453</v>
      </c>
    </row>
    <row r="120" spans="1:14" x14ac:dyDescent="0.2">
      <c r="A120" s="19" t="str">
        <f t="shared" si="119"/>
        <v>Cebolla</v>
      </c>
      <c r="B120" s="154">
        <f t="shared" si="120"/>
        <v>3234.3422312696866</v>
      </c>
      <c r="C120" s="118">
        <f t="shared" si="121"/>
        <v>3299.0290758950805</v>
      </c>
      <c r="D120" s="118">
        <f t="shared" si="122"/>
        <v>3233.0484943771789</v>
      </c>
      <c r="E120" s="118">
        <f t="shared" si="123"/>
        <v>3330.0399492084944</v>
      </c>
      <c r="F120" s="118">
        <f t="shared" si="124"/>
        <v>3396.6407481926644</v>
      </c>
      <c r="G120" s="118">
        <f t="shared" si="125"/>
        <v>3294.7415257468842</v>
      </c>
      <c r="H120" s="118">
        <f t="shared" si="126"/>
        <v>3261.7941104894153</v>
      </c>
      <c r="I120" s="118">
        <f t="shared" si="127"/>
        <v>3327.0299926992038</v>
      </c>
      <c r="J120" s="118">
        <f t="shared" si="128"/>
        <v>3260.4893928452198</v>
      </c>
      <c r="K120" s="118">
        <f t="shared" si="129"/>
        <v>3227.8844989167674</v>
      </c>
      <c r="L120" s="118">
        <f t="shared" si="130"/>
        <v>3292.4421888951028</v>
      </c>
      <c r="M120" s="118">
        <f t="shared" si="131"/>
        <v>3358.2910326730048</v>
      </c>
      <c r="N120" s="156">
        <f t="shared" si="132"/>
        <v>39515.773241208706</v>
      </c>
    </row>
    <row r="121" spans="1:14" x14ac:dyDescent="0.2">
      <c r="A121" s="19" t="str">
        <f t="shared" si="119"/>
        <v>Jitomate</v>
      </c>
      <c r="B121" s="154">
        <f t="shared" si="120"/>
        <v>2587.4737850157499</v>
      </c>
      <c r="C121" s="118">
        <f t="shared" si="121"/>
        <v>2639.2232607160649</v>
      </c>
      <c r="D121" s="118">
        <f t="shared" si="122"/>
        <v>2586.4387955017437</v>
      </c>
      <c r="E121" s="118">
        <f t="shared" si="123"/>
        <v>2664.0319593667959</v>
      </c>
      <c r="F121" s="118">
        <f t="shared" si="124"/>
        <v>2717.3125985541319</v>
      </c>
      <c r="G121" s="118">
        <f t="shared" si="125"/>
        <v>2635.793220597508</v>
      </c>
      <c r="H121" s="118">
        <f t="shared" si="126"/>
        <v>2609.435288391533</v>
      </c>
      <c r="I121" s="118">
        <f t="shared" si="127"/>
        <v>2661.623994159364</v>
      </c>
      <c r="J121" s="118">
        <f t="shared" si="128"/>
        <v>2608.3915142761766</v>
      </c>
      <c r="K121" s="118">
        <f t="shared" si="129"/>
        <v>2582.3075991334149</v>
      </c>
      <c r="L121" s="118">
        <f t="shared" si="130"/>
        <v>2633.9537511160834</v>
      </c>
      <c r="M121" s="118">
        <f t="shared" si="131"/>
        <v>2686.6328261384051</v>
      </c>
      <c r="N121" s="156">
        <f t="shared" si="132"/>
        <v>31612.618592966974</v>
      </c>
    </row>
    <row r="122" spans="1:14" ht="15.75" x14ac:dyDescent="0.25">
      <c r="A122" s="62" t="s">
        <v>106</v>
      </c>
      <c r="B122" s="162">
        <f t="shared" ref="B122:N122" si="133">SUM(B123:B147,B152:B158)</f>
        <v>207422.45609599998</v>
      </c>
      <c r="C122" s="162">
        <f t="shared" si="133"/>
        <v>207422.45609599998</v>
      </c>
      <c r="D122" s="162">
        <f t="shared" si="133"/>
        <v>207422.45609599998</v>
      </c>
      <c r="E122" s="162">
        <f t="shared" si="133"/>
        <v>207422.45609599998</v>
      </c>
      <c r="F122" s="162">
        <f t="shared" si="133"/>
        <v>207422.45609599998</v>
      </c>
      <c r="G122" s="162">
        <f t="shared" si="133"/>
        <v>207422.45609599998</v>
      </c>
      <c r="H122" s="162">
        <f t="shared" si="133"/>
        <v>207422.45609599998</v>
      </c>
      <c r="I122" s="162">
        <f t="shared" si="133"/>
        <v>207422.45609599998</v>
      </c>
      <c r="J122" s="162">
        <f t="shared" si="133"/>
        <v>207422.45609599998</v>
      </c>
      <c r="K122" s="162">
        <f t="shared" si="133"/>
        <v>207422.45609599998</v>
      </c>
      <c r="L122" s="162">
        <f t="shared" si="133"/>
        <v>207422.45609599998</v>
      </c>
      <c r="M122" s="162">
        <f t="shared" si="133"/>
        <v>207422.45609599998</v>
      </c>
      <c r="N122" s="162">
        <f t="shared" si="133"/>
        <v>2489069.473152</v>
      </c>
    </row>
    <row r="123" spans="1:14" x14ac:dyDescent="0.2">
      <c r="A123" s="50" t="str">
        <f t="shared" ref="A123:A158" si="134">A70</f>
        <v>Renta del local</v>
      </c>
      <c r="B123" s="161">
        <f t="shared" ref="B123:B158" si="135">M70</f>
        <v>16000</v>
      </c>
      <c r="C123" s="161">
        <f t="shared" ref="C123:M123" si="136">B123</f>
        <v>16000</v>
      </c>
      <c r="D123" s="161">
        <f t="shared" si="136"/>
        <v>16000</v>
      </c>
      <c r="E123" s="161">
        <f t="shared" si="136"/>
        <v>16000</v>
      </c>
      <c r="F123" s="161">
        <f t="shared" si="136"/>
        <v>16000</v>
      </c>
      <c r="G123" s="161">
        <f t="shared" si="136"/>
        <v>16000</v>
      </c>
      <c r="H123" s="161">
        <f t="shared" si="136"/>
        <v>16000</v>
      </c>
      <c r="I123" s="161">
        <f t="shared" si="136"/>
        <v>16000</v>
      </c>
      <c r="J123" s="161">
        <f t="shared" si="136"/>
        <v>16000</v>
      </c>
      <c r="K123" s="161">
        <f t="shared" si="136"/>
        <v>16000</v>
      </c>
      <c r="L123" s="161">
        <f t="shared" si="136"/>
        <v>16000</v>
      </c>
      <c r="M123" s="161">
        <f t="shared" si="136"/>
        <v>16000</v>
      </c>
      <c r="N123" s="161">
        <f t="shared" ref="N123:N158" si="137">SUM(B123:M123)</f>
        <v>192000</v>
      </c>
    </row>
    <row r="124" spans="1:14" x14ac:dyDescent="0.2">
      <c r="A124" s="50" t="str">
        <f t="shared" si="134"/>
        <v>Internet / teléfono</v>
      </c>
      <c r="B124" s="161">
        <f t="shared" si="135"/>
        <v>600</v>
      </c>
      <c r="C124" s="161">
        <f t="shared" ref="C124:M124" si="138">B124</f>
        <v>600</v>
      </c>
      <c r="D124" s="161">
        <f t="shared" si="138"/>
        <v>600</v>
      </c>
      <c r="E124" s="161">
        <f t="shared" si="138"/>
        <v>600</v>
      </c>
      <c r="F124" s="161">
        <f t="shared" si="138"/>
        <v>600</v>
      </c>
      <c r="G124" s="161">
        <f t="shared" si="138"/>
        <v>600</v>
      </c>
      <c r="H124" s="161">
        <f t="shared" si="138"/>
        <v>600</v>
      </c>
      <c r="I124" s="161">
        <f t="shared" si="138"/>
        <v>600</v>
      </c>
      <c r="J124" s="161">
        <f t="shared" si="138"/>
        <v>600</v>
      </c>
      <c r="K124" s="161">
        <f t="shared" si="138"/>
        <v>600</v>
      </c>
      <c r="L124" s="161">
        <f t="shared" si="138"/>
        <v>600</v>
      </c>
      <c r="M124" s="161">
        <f t="shared" si="138"/>
        <v>600</v>
      </c>
      <c r="N124" s="161">
        <f t="shared" si="137"/>
        <v>7200</v>
      </c>
    </row>
    <row r="125" spans="1:14" x14ac:dyDescent="0.2">
      <c r="A125" s="50" t="str">
        <f t="shared" si="134"/>
        <v>Permisos y licencias</v>
      </c>
      <c r="B125" s="161">
        <f t="shared" si="135"/>
        <v>400</v>
      </c>
      <c r="C125" s="161">
        <f t="shared" ref="C125:M125" si="139">B125</f>
        <v>400</v>
      </c>
      <c r="D125" s="161">
        <f t="shared" si="139"/>
        <v>400</v>
      </c>
      <c r="E125" s="161">
        <f t="shared" si="139"/>
        <v>400</v>
      </c>
      <c r="F125" s="161">
        <f t="shared" si="139"/>
        <v>400</v>
      </c>
      <c r="G125" s="161">
        <f t="shared" si="139"/>
        <v>400</v>
      </c>
      <c r="H125" s="161">
        <f t="shared" si="139"/>
        <v>400</v>
      </c>
      <c r="I125" s="161">
        <f t="shared" si="139"/>
        <v>400</v>
      </c>
      <c r="J125" s="161">
        <f t="shared" si="139"/>
        <v>400</v>
      </c>
      <c r="K125" s="161">
        <f t="shared" si="139"/>
        <v>400</v>
      </c>
      <c r="L125" s="161">
        <f t="shared" si="139"/>
        <v>400</v>
      </c>
      <c r="M125" s="161">
        <f t="shared" si="139"/>
        <v>400</v>
      </c>
      <c r="N125" s="161">
        <f t="shared" si="137"/>
        <v>4800</v>
      </c>
    </row>
    <row r="126" spans="1:14" x14ac:dyDescent="0.2">
      <c r="A126" s="50" t="str">
        <f t="shared" si="134"/>
        <v>Mantenimiento</v>
      </c>
      <c r="B126" s="161">
        <f t="shared" si="135"/>
        <v>500</v>
      </c>
      <c r="C126" s="161">
        <f t="shared" ref="C126:M126" si="140">B126</f>
        <v>500</v>
      </c>
      <c r="D126" s="161">
        <f t="shared" si="140"/>
        <v>500</v>
      </c>
      <c r="E126" s="161">
        <f t="shared" si="140"/>
        <v>500</v>
      </c>
      <c r="F126" s="161">
        <f t="shared" si="140"/>
        <v>500</v>
      </c>
      <c r="G126" s="161">
        <f t="shared" si="140"/>
        <v>500</v>
      </c>
      <c r="H126" s="161">
        <f t="shared" si="140"/>
        <v>500</v>
      </c>
      <c r="I126" s="161">
        <f t="shared" si="140"/>
        <v>500</v>
      </c>
      <c r="J126" s="161">
        <f t="shared" si="140"/>
        <v>500</v>
      </c>
      <c r="K126" s="161">
        <f t="shared" si="140"/>
        <v>500</v>
      </c>
      <c r="L126" s="161">
        <f t="shared" si="140"/>
        <v>500</v>
      </c>
      <c r="M126" s="161">
        <f t="shared" si="140"/>
        <v>500</v>
      </c>
      <c r="N126" s="161">
        <f t="shared" si="137"/>
        <v>6000</v>
      </c>
    </row>
    <row r="127" spans="1:14" x14ac:dyDescent="0.2">
      <c r="A127" s="50" t="str">
        <f t="shared" si="134"/>
        <v>Depreciaciones</v>
      </c>
      <c r="B127" s="161">
        <f t="shared" si="135"/>
        <v>1500</v>
      </c>
      <c r="C127" s="161">
        <f t="shared" ref="C127:M127" si="141">B127</f>
        <v>1500</v>
      </c>
      <c r="D127" s="161">
        <f t="shared" si="141"/>
        <v>1500</v>
      </c>
      <c r="E127" s="161">
        <f t="shared" si="141"/>
        <v>1500</v>
      </c>
      <c r="F127" s="161">
        <f t="shared" si="141"/>
        <v>1500</v>
      </c>
      <c r="G127" s="161">
        <f t="shared" si="141"/>
        <v>1500</v>
      </c>
      <c r="H127" s="161">
        <f t="shared" si="141"/>
        <v>1500</v>
      </c>
      <c r="I127" s="161">
        <f t="shared" si="141"/>
        <v>1500</v>
      </c>
      <c r="J127" s="161">
        <f t="shared" si="141"/>
        <v>1500</v>
      </c>
      <c r="K127" s="161">
        <f t="shared" si="141"/>
        <v>1500</v>
      </c>
      <c r="L127" s="161">
        <f t="shared" si="141"/>
        <v>1500</v>
      </c>
      <c r="M127" s="161">
        <f t="shared" si="141"/>
        <v>1500</v>
      </c>
      <c r="N127" s="161">
        <f t="shared" si="137"/>
        <v>18000</v>
      </c>
    </row>
    <row r="128" spans="1:14" x14ac:dyDescent="0.2">
      <c r="A128" s="50" t="str">
        <f t="shared" si="134"/>
        <v>Energía eléctrica (Pago bimestral)</v>
      </c>
      <c r="B128" s="161">
        <f t="shared" si="135"/>
        <v>700</v>
      </c>
      <c r="C128" s="161">
        <f t="shared" ref="C128:M128" si="142">B128</f>
        <v>700</v>
      </c>
      <c r="D128" s="161">
        <f t="shared" si="142"/>
        <v>700</v>
      </c>
      <c r="E128" s="161">
        <f t="shared" si="142"/>
        <v>700</v>
      </c>
      <c r="F128" s="161">
        <f t="shared" si="142"/>
        <v>700</v>
      </c>
      <c r="G128" s="161">
        <f t="shared" si="142"/>
        <v>700</v>
      </c>
      <c r="H128" s="161">
        <f t="shared" si="142"/>
        <v>700</v>
      </c>
      <c r="I128" s="161">
        <f t="shared" si="142"/>
        <v>700</v>
      </c>
      <c r="J128" s="161">
        <f t="shared" si="142"/>
        <v>700</v>
      </c>
      <c r="K128" s="161">
        <f t="shared" si="142"/>
        <v>700</v>
      </c>
      <c r="L128" s="161">
        <f t="shared" si="142"/>
        <v>700</v>
      </c>
      <c r="M128" s="161">
        <f t="shared" si="142"/>
        <v>700</v>
      </c>
      <c r="N128" s="161">
        <f t="shared" si="137"/>
        <v>8400</v>
      </c>
    </row>
    <row r="129" spans="1:14" x14ac:dyDescent="0.2">
      <c r="A129" s="50" t="str">
        <f t="shared" si="134"/>
        <v>Agua</v>
      </c>
      <c r="B129" s="161">
        <f t="shared" si="135"/>
        <v>400</v>
      </c>
      <c r="C129" s="161">
        <f t="shared" ref="C129:M129" si="143">B129</f>
        <v>400</v>
      </c>
      <c r="D129" s="161">
        <f t="shared" si="143"/>
        <v>400</v>
      </c>
      <c r="E129" s="161">
        <f t="shared" si="143"/>
        <v>400</v>
      </c>
      <c r="F129" s="161">
        <f t="shared" si="143"/>
        <v>400</v>
      </c>
      <c r="G129" s="161">
        <f t="shared" si="143"/>
        <v>400</v>
      </c>
      <c r="H129" s="161">
        <f t="shared" si="143"/>
        <v>400</v>
      </c>
      <c r="I129" s="161">
        <f t="shared" si="143"/>
        <v>400</v>
      </c>
      <c r="J129" s="161">
        <f t="shared" si="143"/>
        <v>400</v>
      </c>
      <c r="K129" s="161">
        <f t="shared" si="143"/>
        <v>400</v>
      </c>
      <c r="L129" s="161">
        <f t="shared" si="143"/>
        <v>400</v>
      </c>
      <c r="M129" s="161">
        <f t="shared" si="143"/>
        <v>400</v>
      </c>
      <c r="N129" s="161">
        <f t="shared" si="137"/>
        <v>4800</v>
      </c>
    </row>
    <row r="130" spans="1:14" x14ac:dyDescent="0.2">
      <c r="A130" s="50" t="str">
        <f t="shared" si="134"/>
        <v>Gas estacionario</v>
      </c>
      <c r="B130" s="161">
        <f t="shared" si="135"/>
        <v>1200</v>
      </c>
      <c r="C130" s="161">
        <f t="shared" ref="C130:M130" si="144">B130</f>
        <v>1200</v>
      </c>
      <c r="D130" s="161">
        <f t="shared" si="144"/>
        <v>1200</v>
      </c>
      <c r="E130" s="161">
        <f t="shared" si="144"/>
        <v>1200</v>
      </c>
      <c r="F130" s="161">
        <f t="shared" si="144"/>
        <v>1200</v>
      </c>
      <c r="G130" s="161">
        <f t="shared" si="144"/>
        <v>1200</v>
      </c>
      <c r="H130" s="161">
        <f t="shared" si="144"/>
        <v>1200</v>
      </c>
      <c r="I130" s="161">
        <f t="shared" si="144"/>
        <v>1200</v>
      </c>
      <c r="J130" s="161">
        <f t="shared" si="144"/>
        <v>1200</v>
      </c>
      <c r="K130" s="161">
        <f t="shared" si="144"/>
        <v>1200</v>
      </c>
      <c r="L130" s="161">
        <f t="shared" si="144"/>
        <v>1200</v>
      </c>
      <c r="M130" s="161">
        <f t="shared" si="144"/>
        <v>1200</v>
      </c>
      <c r="N130" s="161">
        <f t="shared" si="137"/>
        <v>14400</v>
      </c>
    </row>
    <row r="131" spans="1:14" x14ac:dyDescent="0.2">
      <c r="A131" s="50" t="str">
        <f t="shared" si="134"/>
        <v>Limpieza / fumigación</v>
      </c>
      <c r="B131" s="161">
        <f t="shared" si="135"/>
        <v>300</v>
      </c>
      <c r="C131" s="161">
        <f t="shared" ref="C131:M131" si="145">B131</f>
        <v>300</v>
      </c>
      <c r="D131" s="161">
        <f t="shared" si="145"/>
        <v>300</v>
      </c>
      <c r="E131" s="161">
        <f t="shared" si="145"/>
        <v>300</v>
      </c>
      <c r="F131" s="161">
        <f t="shared" si="145"/>
        <v>300</v>
      </c>
      <c r="G131" s="161">
        <f t="shared" si="145"/>
        <v>300</v>
      </c>
      <c r="H131" s="161">
        <f t="shared" si="145"/>
        <v>300</v>
      </c>
      <c r="I131" s="161">
        <f t="shared" si="145"/>
        <v>300</v>
      </c>
      <c r="J131" s="161">
        <f t="shared" si="145"/>
        <v>300</v>
      </c>
      <c r="K131" s="161">
        <f t="shared" si="145"/>
        <v>300</v>
      </c>
      <c r="L131" s="161">
        <f t="shared" si="145"/>
        <v>300</v>
      </c>
      <c r="M131" s="161">
        <f t="shared" si="145"/>
        <v>300</v>
      </c>
      <c r="N131" s="161">
        <f t="shared" si="137"/>
        <v>3600</v>
      </c>
    </row>
    <row r="132" spans="1:14" x14ac:dyDescent="0.2">
      <c r="A132" s="50" t="str">
        <f t="shared" si="134"/>
        <v>Mesero</v>
      </c>
      <c r="B132" s="161">
        <f t="shared" si="135"/>
        <v>20299.32</v>
      </c>
      <c r="C132" s="161">
        <f t="shared" ref="C132:M132" si="146">B132</f>
        <v>20299.32</v>
      </c>
      <c r="D132" s="161">
        <f t="shared" si="146"/>
        <v>20299.32</v>
      </c>
      <c r="E132" s="161">
        <f t="shared" si="146"/>
        <v>20299.32</v>
      </c>
      <c r="F132" s="161">
        <f t="shared" si="146"/>
        <v>20299.32</v>
      </c>
      <c r="G132" s="161">
        <f t="shared" si="146"/>
        <v>20299.32</v>
      </c>
      <c r="H132" s="161">
        <f t="shared" si="146"/>
        <v>20299.32</v>
      </c>
      <c r="I132" s="161">
        <f t="shared" si="146"/>
        <v>20299.32</v>
      </c>
      <c r="J132" s="161">
        <f t="shared" si="146"/>
        <v>20299.32</v>
      </c>
      <c r="K132" s="161">
        <f t="shared" si="146"/>
        <v>20299.32</v>
      </c>
      <c r="L132" s="161">
        <f t="shared" si="146"/>
        <v>20299.32</v>
      </c>
      <c r="M132" s="161">
        <f t="shared" si="146"/>
        <v>20299.32</v>
      </c>
      <c r="N132" s="161">
        <f t="shared" si="137"/>
        <v>243591.84000000005</v>
      </c>
    </row>
    <row r="133" spans="1:14" x14ac:dyDescent="0.2">
      <c r="A133" s="50" t="str">
        <f t="shared" si="134"/>
        <v>Verduras, ensaladas y guarniciones</v>
      </c>
      <c r="B133" s="161">
        <f t="shared" si="135"/>
        <v>6348.32</v>
      </c>
      <c r="C133" s="161">
        <f t="shared" ref="C133:M133" si="147">B133</f>
        <v>6348.32</v>
      </c>
      <c r="D133" s="161">
        <f t="shared" si="147"/>
        <v>6348.32</v>
      </c>
      <c r="E133" s="161">
        <f t="shared" si="147"/>
        <v>6348.32</v>
      </c>
      <c r="F133" s="161">
        <f t="shared" si="147"/>
        <v>6348.32</v>
      </c>
      <c r="G133" s="161">
        <f t="shared" si="147"/>
        <v>6348.32</v>
      </c>
      <c r="H133" s="161">
        <f t="shared" si="147"/>
        <v>6348.32</v>
      </c>
      <c r="I133" s="161">
        <f t="shared" si="147"/>
        <v>6348.32</v>
      </c>
      <c r="J133" s="161">
        <f t="shared" si="147"/>
        <v>6348.32</v>
      </c>
      <c r="K133" s="161">
        <f t="shared" si="147"/>
        <v>6348.32</v>
      </c>
      <c r="L133" s="161">
        <f t="shared" si="147"/>
        <v>6348.32</v>
      </c>
      <c r="M133" s="161">
        <f t="shared" si="147"/>
        <v>6348.32</v>
      </c>
      <c r="N133" s="161">
        <f t="shared" si="137"/>
        <v>76179.839999999997</v>
      </c>
    </row>
    <row r="134" spans="1:14" x14ac:dyDescent="0.2">
      <c r="A134" s="50" t="str">
        <f t="shared" si="134"/>
        <v>Salsas y Járabes</v>
      </c>
      <c r="B134" s="161">
        <f t="shared" si="135"/>
        <v>6348.32</v>
      </c>
      <c r="C134" s="161">
        <f t="shared" ref="C134:M134" si="148">B134</f>
        <v>6348.32</v>
      </c>
      <c r="D134" s="161">
        <f t="shared" si="148"/>
        <v>6348.32</v>
      </c>
      <c r="E134" s="161">
        <f t="shared" si="148"/>
        <v>6348.32</v>
      </c>
      <c r="F134" s="161">
        <f t="shared" si="148"/>
        <v>6348.32</v>
      </c>
      <c r="G134" s="161">
        <f t="shared" si="148"/>
        <v>6348.32</v>
      </c>
      <c r="H134" s="161">
        <f t="shared" si="148"/>
        <v>6348.32</v>
      </c>
      <c r="I134" s="161">
        <f t="shared" si="148"/>
        <v>6348.32</v>
      </c>
      <c r="J134" s="161">
        <f t="shared" si="148"/>
        <v>6348.32</v>
      </c>
      <c r="K134" s="161">
        <f t="shared" si="148"/>
        <v>6348.32</v>
      </c>
      <c r="L134" s="161">
        <f t="shared" si="148"/>
        <v>6348.32</v>
      </c>
      <c r="M134" s="161">
        <f t="shared" si="148"/>
        <v>6348.32</v>
      </c>
      <c r="N134" s="161">
        <f t="shared" si="137"/>
        <v>76179.839999999997</v>
      </c>
    </row>
    <row r="135" spans="1:14" x14ac:dyDescent="0.2">
      <c r="A135" s="50" t="str">
        <f t="shared" si="134"/>
        <v>Coordinador de parrilla</v>
      </c>
      <c r="B135" s="161">
        <f t="shared" si="135"/>
        <v>11106.76</v>
      </c>
      <c r="C135" s="161">
        <f t="shared" ref="C135:M135" si="149">B135</f>
        <v>11106.76</v>
      </c>
      <c r="D135" s="161">
        <f t="shared" si="149"/>
        <v>11106.76</v>
      </c>
      <c r="E135" s="161">
        <f t="shared" si="149"/>
        <v>11106.76</v>
      </c>
      <c r="F135" s="161">
        <f t="shared" si="149"/>
        <v>11106.76</v>
      </c>
      <c r="G135" s="161">
        <f t="shared" si="149"/>
        <v>11106.76</v>
      </c>
      <c r="H135" s="161">
        <f t="shared" si="149"/>
        <v>11106.76</v>
      </c>
      <c r="I135" s="161">
        <f t="shared" si="149"/>
        <v>11106.76</v>
      </c>
      <c r="J135" s="161">
        <f t="shared" si="149"/>
        <v>11106.76</v>
      </c>
      <c r="K135" s="161">
        <f t="shared" si="149"/>
        <v>11106.76</v>
      </c>
      <c r="L135" s="161">
        <f t="shared" si="149"/>
        <v>11106.76</v>
      </c>
      <c r="M135" s="161">
        <f t="shared" si="149"/>
        <v>11106.76</v>
      </c>
      <c r="N135" s="161">
        <f t="shared" si="137"/>
        <v>133281.11999999997</v>
      </c>
    </row>
    <row r="136" spans="1:14" x14ac:dyDescent="0.2">
      <c r="A136" s="50" t="str">
        <f t="shared" si="134"/>
        <v>Parrillero plancha</v>
      </c>
      <c r="B136" s="161">
        <f t="shared" si="135"/>
        <v>8895</v>
      </c>
      <c r="C136" s="161">
        <f t="shared" ref="C136:M136" si="150">B136</f>
        <v>8895</v>
      </c>
      <c r="D136" s="161">
        <f t="shared" si="150"/>
        <v>8895</v>
      </c>
      <c r="E136" s="161">
        <f t="shared" si="150"/>
        <v>8895</v>
      </c>
      <c r="F136" s="161">
        <f t="shared" si="150"/>
        <v>8895</v>
      </c>
      <c r="G136" s="161">
        <f t="shared" si="150"/>
        <v>8895</v>
      </c>
      <c r="H136" s="161">
        <f t="shared" si="150"/>
        <v>8895</v>
      </c>
      <c r="I136" s="161">
        <f t="shared" si="150"/>
        <v>8895</v>
      </c>
      <c r="J136" s="161">
        <f t="shared" si="150"/>
        <v>8895</v>
      </c>
      <c r="K136" s="161">
        <f t="shared" si="150"/>
        <v>8895</v>
      </c>
      <c r="L136" s="161">
        <f t="shared" si="150"/>
        <v>8895</v>
      </c>
      <c r="M136" s="161">
        <f t="shared" si="150"/>
        <v>8895</v>
      </c>
      <c r="N136" s="161">
        <f t="shared" si="137"/>
        <v>106740</v>
      </c>
    </row>
    <row r="137" spans="1:14" x14ac:dyDescent="0.2">
      <c r="A137" s="50" t="str">
        <f t="shared" si="134"/>
        <v>Parrillero vapor</v>
      </c>
      <c r="B137" s="161">
        <f t="shared" si="135"/>
        <v>7862.36</v>
      </c>
      <c r="C137" s="161">
        <f t="shared" ref="C137:M137" si="151">B137</f>
        <v>7862.36</v>
      </c>
      <c r="D137" s="161">
        <f t="shared" si="151"/>
        <v>7862.36</v>
      </c>
      <c r="E137" s="161">
        <f t="shared" si="151"/>
        <v>7862.36</v>
      </c>
      <c r="F137" s="161">
        <f t="shared" si="151"/>
        <v>7862.36</v>
      </c>
      <c r="G137" s="161">
        <f t="shared" si="151"/>
        <v>7862.36</v>
      </c>
      <c r="H137" s="161">
        <f t="shared" si="151"/>
        <v>7862.36</v>
      </c>
      <c r="I137" s="161">
        <f t="shared" si="151"/>
        <v>7862.36</v>
      </c>
      <c r="J137" s="161">
        <f t="shared" si="151"/>
        <v>7862.36</v>
      </c>
      <c r="K137" s="161">
        <f t="shared" si="151"/>
        <v>7862.36</v>
      </c>
      <c r="L137" s="161">
        <f t="shared" si="151"/>
        <v>7862.36</v>
      </c>
      <c r="M137" s="161">
        <f t="shared" si="151"/>
        <v>7862.36</v>
      </c>
      <c r="N137" s="161">
        <f t="shared" si="137"/>
        <v>94348.319999999992</v>
      </c>
    </row>
    <row r="138" spans="1:14" x14ac:dyDescent="0.2">
      <c r="A138" s="50" t="str">
        <f t="shared" si="134"/>
        <v>Pastorero</v>
      </c>
      <c r="B138" s="161">
        <f t="shared" si="135"/>
        <v>8895</v>
      </c>
      <c r="C138" s="161">
        <f t="shared" ref="C138:M138" si="152">B138</f>
        <v>8895</v>
      </c>
      <c r="D138" s="161">
        <f t="shared" si="152"/>
        <v>8895</v>
      </c>
      <c r="E138" s="161">
        <f t="shared" si="152"/>
        <v>8895</v>
      </c>
      <c r="F138" s="161">
        <f t="shared" si="152"/>
        <v>8895</v>
      </c>
      <c r="G138" s="161">
        <f t="shared" si="152"/>
        <v>8895</v>
      </c>
      <c r="H138" s="161">
        <f t="shared" si="152"/>
        <v>8895</v>
      </c>
      <c r="I138" s="161">
        <f t="shared" si="152"/>
        <v>8895</v>
      </c>
      <c r="J138" s="161">
        <f t="shared" si="152"/>
        <v>8895</v>
      </c>
      <c r="K138" s="161">
        <f t="shared" si="152"/>
        <v>8895</v>
      </c>
      <c r="L138" s="161">
        <f t="shared" si="152"/>
        <v>8895</v>
      </c>
      <c r="M138" s="161">
        <f t="shared" si="152"/>
        <v>8895</v>
      </c>
      <c r="N138" s="161">
        <f t="shared" si="137"/>
        <v>106740</v>
      </c>
    </row>
    <row r="139" spans="1:14" x14ac:dyDescent="0.2">
      <c r="A139" s="50" t="str">
        <f t="shared" si="134"/>
        <v>Lavatrastes</v>
      </c>
      <c r="B139" s="161">
        <f t="shared" si="135"/>
        <v>6348.32</v>
      </c>
      <c r="C139" s="161">
        <f t="shared" ref="C139:M139" si="153">B139</f>
        <v>6348.32</v>
      </c>
      <c r="D139" s="161">
        <f t="shared" si="153"/>
        <v>6348.32</v>
      </c>
      <c r="E139" s="161">
        <f t="shared" si="153"/>
        <v>6348.32</v>
      </c>
      <c r="F139" s="161">
        <f t="shared" si="153"/>
        <v>6348.32</v>
      </c>
      <c r="G139" s="161">
        <f t="shared" si="153"/>
        <v>6348.32</v>
      </c>
      <c r="H139" s="161">
        <f t="shared" si="153"/>
        <v>6348.32</v>
      </c>
      <c r="I139" s="161">
        <f t="shared" si="153"/>
        <v>6348.32</v>
      </c>
      <c r="J139" s="161">
        <f t="shared" si="153"/>
        <v>6348.32</v>
      </c>
      <c r="K139" s="161">
        <f t="shared" si="153"/>
        <v>6348.32</v>
      </c>
      <c r="L139" s="161">
        <f t="shared" si="153"/>
        <v>6348.32</v>
      </c>
      <c r="M139" s="161">
        <f t="shared" si="153"/>
        <v>6348.32</v>
      </c>
      <c r="N139" s="161">
        <f t="shared" si="137"/>
        <v>76179.839999999997</v>
      </c>
    </row>
    <row r="140" spans="1:14" x14ac:dyDescent="0.2">
      <c r="A140" s="50" t="str">
        <f t="shared" si="134"/>
        <v>Gerente general</v>
      </c>
      <c r="B140" s="161">
        <f t="shared" si="135"/>
        <v>17263.96</v>
      </c>
      <c r="C140" s="161">
        <f t="shared" ref="C140:M140" si="154">B140</f>
        <v>17263.96</v>
      </c>
      <c r="D140" s="161">
        <f t="shared" si="154"/>
        <v>17263.96</v>
      </c>
      <c r="E140" s="161">
        <f t="shared" si="154"/>
        <v>17263.96</v>
      </c>
      <c r="F140" s="161">
        <f t="shared" si="154"/>
        <v>17263.96</v>
      </c>
      <c r="G140" s="161">
        <f t="shared" si="154"/>
        <v>17263.96</v>
      </c>
      <c r="H140" s="161">
        <f t="shared" si="154"/>
        <v>17263.96</v>
      </c>
      <c r="I140" s="161">
        <f t="shared" si="154"/>
        <v>17263.96</v>
      </c>
      <c r="J140" s="161">
        <f t="shared" si="154"/>
        <v>17263.96</v>
      </c>
      <c r="K140" s="161">
        <f t="shared" si="154"/>
        <v>17263.96</v>
      </c>
      <c r="L140" s="161">
        <f t="shared" si="154"/>
        <v>17263.96</v>
      </c>
      <c r="M140" s="161">
        <f t="shared" si="154"/>
        <v>17263.96</v>
      </c>
      <c r="N140" s="161">
        <f t="shared" si="137"/>
        <v>207167.51999999993</v>
      </c>
    </row>
    <row r="141" spans="1:14" x14ac:dyDescent="0.2">
      <c r="A141" s="50" t="str">
        <f t="shared" si="134"/>
        <v>Asesor</v>
      </c>
      <c r="B141" s="161">
        <f t="shared" si="135"/>
        <v>17204.32</v>
      </c>
      <c r="C141" s="161">
        <f t="shared" ref="C141:M141" si="155">B141</f>
        <v>17204.32</v>
      </c>
      <c r="D141" s="161">
        <f t="shared" si="155"/>
        <v>17204.32</v>
      </c>
      <c r="E141" s="161">
        <f t="shared" si="155"/>
        <v>17204.32</v>
      </c>
      <c r="F141" s="161">
        <f t="shared" si="155"/>
        <v>17204.32</v>
      </c>
      <c r="G141" s="161">
        <f t="shared" si="155"/>
        <v>17204.32</v>
      </c>
      <c r="H141" s="161">
        <f t="shared" si="155"/>
        <v>17204.32</v>
      </c>
      <c r="I141" s="161">
        <f t="shared" si="155"/>
        <v>17204.32</v>
      </c>
      <c r="J141" s="161">
        <f t="shared" si="155"/>
        <v>17204.32</v>
      </c>
      <c r="K141" s="161">
        <f t="shared" si="155"/>
        <v>17204.32</v>
      </c>
      <c r="L141" s="161">
        <f t="shared" si="155"/>
        <v>17204.32</v>
      </c>
      <c r="M141" s="161">
        <f t="shared" si="155"/>
        <v>17204.32</v>
      </c>
      <c r="N141" s="161">
        <f t="shared" si="137"/>
        <v>206451.84000000005</v>
      </c>
    </row>
    <row r="142" spans="1:14" x14ac:dyDescent="0.2">
      <c r="A142" s="50" t="str">
        <f t="shared" si="134"/>
        <v>Cajero</v>
      </c>
      <c r="B142" s="161">
        <f t="shared" si="135"/>
        <v>8377.56</v>
      </c>
      <c r="C142" s="161">
        <f t="shared" ref="C142:M142" si="156">B142</f>
        <v>8377.56</v>
      </c>
      <c r="D142" s="161">
        <f t="shared" si="156"/>
        <v>8377.56</v>
      </c>
      <c r="E142" s="161">
        <f t="shared" si="156"/>
        <v>8377.56</v>
      </c>
      <c r="F142" s="161">
        <f t="shared" si="156"/>
        <v>8377.56</v>
      </c>
      <c r="G142" s="161">
        <f t="shared" si="156"/>
        <v>8377.56</v>
      </c>
      <c r="H142" s="161">
        <f t="shared" si="156"/>
        <v>8377.56</v>
      </c>
      <c r="I142" s="161">
        <f t="shared" si="156"/>
        <v>8377.56</v>
      </c>
      <c r="J142" s="161">
        <f t="shared" si="156"/>
        <v>8377.56</v>
      </c>
      <c r="K142" s="161">
        <f t="shared" si="156"/>
        <v>8377.56</v>
      </c>
      <c r="L142" s="161">
        <f t="shared" si="156"/>
        <v>8377.56</v>
      </c>
      <c r="M142" s="161">
        <f t="shared" si="156"/>
        <v>8377.56</v>
      </c>
      <c r="N142" s="161">
        <f t="shared" si="137"/>
        <v>100530.71999999999</v>
      </c>
    </row>
    <row r="143" spans="1:14" x14ac:dyDescent="0.2">
      <c r="A143" s="50" t="str">
        <f t="shared" si="134"/>
        <v>Contador</v>
      </c>
      <c r="B143" s="161">
        <f t="shared" si="135"/>
        <v>14594.56</v>
      </c>
      <c r="C143" s="161">
        <f t="shared" ref="C143:M143" si="157">B143</f>
        <v>14594.56</v>
      </c>
      <c r="D143" s="161">
        <f t="shared" si="157"/>
        <v>14594.56</v>
      </c>
      <c r="E143" s="161">
        <f t="shared" si="157"/>
        <v>14594.56</v>
      </c>
      <c r="F143" s="161">
        <f t="shared" si="157"/>
        <v>14594.56</v>
      </c>
      <c r="G143" s="161">
        <f t="shared" si="157"/>
        <v>14594.56</v>
      </c>
      <c r="H143" s="161">
        <f t="shared" si="157"/>
        <v>14594.56</v>
      </c>
      <c r="I143" s="161">
        <f t="shared" si="157"/>
        <v>14594.56</v>
      </c>
      <c r="J143" s="161">
        <f t="shared" si="157"/>
        <v>14594.56</v>
      </c>
      <c r="K143" s="161">
        <f t="shared" si="157"/>
        <v>14594.56</v>
      </c>
      <c r="L143" s="161">
        <f t="shared" si="157"/>
        <v>14594.56</v>
      </c>
      <c r="M143" s="161">
        <f t="shared" si="157"/>
        <v>14594.56</v>
      </c>
      <c r="N143" s="161">
        <f t="shared" si="137"/>
        <v>175134.72</v>
      </c>
    </row>
    <row r="144" spans="1:14" x14ac:dyDescent="0.2">
      <c r="A144" s="50" t="str">
        <f t="shared" si="134"/>
        <v>Compras</v>
      </c>
      <c r="B144" s="161">
        <f t="shared" si="135"/>
        <v>15899.44</v>
      </c>
      <c r="C144" s="161">
        <f t="shared" ref="C144:M144" si="158">B144</f>
        <v>15899.44</v>
      </c>
      <c r="D144" s="161">
        <f t="shared" si="158"/>
        <v>15899.44</v>
      </c>
      <c r="E144" s="161">
        <f t="shared" si="158"/>
        <v>15899.44</v>
      </c>
      <c r="F144" s="161">
        <f t="shared" si="158"/>
        <v>15899.44</v>
      </c>
      <c r="G144" s="161">
        <f t="shared" si="158"/>
        <v>15899.44</v>
      </c>
      <c r="H144" s="161">
        <f t="shared" si="158"/>
        <v>15899.44</v>
      </c>
      <c r="I144" s="161">
        <f t="shared" si="158"/>
        <v>15899.44</v>
      </c>
      <c r="J144" s="161">
        <f t="shared" si="158"/>
        <v>15899.44</v>
      </c>
      <c r="K144" s="161">
        <f t="shared" si="158"/>
        <v>15899.44</v>
      </c>
      <c r="L144" s="161">
        <f t="shared" si="158"/>
        <v>15899.44</v>
      </c>
      <c r="M144" s="161">
        <f t="shared" si="158"/>
        <v>15899.44</v>
      </c>
      <c r="N144" s="161">
        <f t="shared" si="137"/>
        <v>190793.28</v>
      </c>
    </row>
    <row r="145" spans="1:14" x14ac:dyDescent="0.2">
      <c r="A145" s="50" t="str">
        <f t="shared" si="134"/>
        <v>Supervisor de envios y calidad</v>
      </c>
      <c r="B145" s="161">
        <f t="shared" si="135"/>
        <v>11984.84</v>
      </c>
      <c r="C145" s="161">
        <f t="shared" ref="C145:M145" si="159">B145</f>
        <v>11984.84</v>
      </c>
      <c r="D145" s="161">
        <f t="shared" si="159"/>
        <v>11984.84</v>
      </c>
      <c r="E145" s="161">
        <f t="shared" si="159"/>
        <v>11984.84</v>
      </c>
      <c r="F145" s="161">
        <f t="shared" si="159"/>
        <v>11984.84</v>
      </c>
      <c r="G145" s="161">
        <f t="shared" si="159"/>
        <v>11984.84</v>
      </c>
      <c r="H145" s="161">
        <f t="shared" si="159"/>
        <v>11984.84</v>
      </c>
      <c r="I145" s="161">
        <f t="shared" si="159"/>
        <v>11984.84</v>
      </c>
      <c r="J145" s="161">
        <f t="shared" si="159"/>
        <v>11984.84</v>
      </c>
      <c r="K145" s="161">
        <f t="shared" si="159"/>
        <v>11984.84</v>
      </c>
      <c r="L145" s="161">
        <f t="shared" si="159"/>
        <v>11984.84</v>
      </c>
      <c r="M145" s="161">
        <f t="shared" si="159"/>
        <v>11984.84</v>
      </c>
      <c r="N145" s="161">
        <f t="shared" si="137"/>
        <v>143818.07999999999</v>
      </c>
    </row>
    <row r="146" spans="1:14" x14ac:dyDescent="0.2">
      <c r="A146" s="50" t="str">
        <f t="shared" si="134"/>
        <v>Seguro social (IMSS)</v>
      </c>
      <c r="B146" s="161">
        <f t="shared" si="135"/>
        <v>3076</v>
      </c>
      <c r="C146" s="161">
        <f t="shared" ref="C146:M146" si="160">B146</f>
        <v>3076</v>
      </c>
      <c r="D146" s="161">
        <f t="shared" si="160"/>
        <v>3076</v>
      </c>
      <c r="E146" s="161">
        <f t="shared" si="160"/>
        <v>3076</v>
      </c>
      <c r="F146" s="161">
        <f t="shared" si="160"/>
        <v>3076</v>
      </c>
      <c r="G146" s="161">
        <f t="shared" si="160"/>
        <v>3076</v>
      </c>
      <c r="H146" s="161">
        <f t="shared" si="160"/>
        <v>3076</v>
      </c>
      <c r="I146" s="161">
        <f t="shared" si="160"/>
        <v>3076</v>
      </c>
      <c r="J146" s="161">
        <f t="shared" si="160"/>
        <v>3076</v>
      </c>
      <c r="K146" s="161">
        <f t="shared" si="160"/>
        <v>3076</v>
      </c>
      <c r="L146" s="161">
        <f t="shared" si="160"/>
        <v>3076</v>
      </c>
      <c r="M146" s="161">
        <f t="shared" si="160"/>
        <v>3076</v>
      </c>
      <c r="N146" s="161">
        <f t="shared" si="137"/>
        <v>36912</v>
      </c>
    </row>
    <row r="147" spans="1:14" x14ac:dyDescent="0.2">
      <c r="A147" s="50" t="str">
        <f t="shared" si="134"/>
        <v>INFONAVIT</v>
      </c>
      <c r="B147" s="161">
        <f t="shared" si="135"/>
        <v>20318.376096</v>
      </c>
      <c r="C147" s="161">
        <f t="shared" ref="C147:M147" si="161">B147</f>
        <v>20318.376096</v>
      </c>
      <c r="D147" s="161">
        <f t="shared" si="161"/>
        <v>20318.376096</v>
      </c>
      <c r="E147" s="161">
        <f t="shared" si="161"/>
        <v>20318.376096</v>
      </c>
      <c r="F147" s="161">
        <f t="shared" si="161"/>
        <v>20318.376096</v>
      </c>
      <c r="G147" s="161">
        <f t="shared" si="161"/>
        <v>20318.376096</v>
      </c>
      <c r="H147" s="161">
        <f t="shared" si="161"/>
        <v>20318.376096</v>
      </c>
      <c r="I147" s="161">
        <f t="shared" si="161"/>
        <v>20318.376096</v>
      </c>
      <c r="J147" s="161">
        <f t="shared" si="161"/>
        <v>20318.376096</v>
      </c>
      <c r="K147" s="161">
        <f t="shared" si="161"/>
        <v>20318.376096</v>
      </c>
      <c r="L147" s="161">
        <f t="shared" si="161"/>
        <v>20318.376096</v>
      </c>
      <c r="M147" s="161">
        <f t="shared" si="161"/>
        <v>20318.376096</v>
      </c>
      <c r="N147" s="161">
        <f t="shared" si="137"/>
        <v>243820.51315199994</v>
      </c>
    </row>
    <row r="148" spans="1:14" x14ac:dyDescent="0.2">
      <c r="A148" s="50" t="str">
        <f t="shared" si="134"/>
        <v>Seguro de retiro y cesantía</v>
      </c>
      <c r="B148" s="161">
        <f t="shared" si="135"/>
        <v>17372.16</v>
      </c>
      <c r="C148" s="161">
        <f t="shared" ref="C148:M148" si="162">B148</f>
        <v>17372.16</v>
      </c>
      <c r="D148" s="161">
        <f t="shared" si="162"/>
        <v>17372.16</v>
      </c>
      <c r="E148" s="161">
        <f t="shared" si="162"/>
        <v>17372.16</v>
      </c>
      <c r="F148" s="161">
        <f t="shared" si="162"/>
        <v>17372.16</v>
      </c>
      <c r="G148" s="161">
        <f t="shared" si="162"/>
        <v>17372.16</v>
      </c>
      <c r="H148" s="161">
        <f t="shared" si="162"/>
        <v>17372.16</v>
      </c>
      <c r="I148" s="161">
        <f t="shared" si="162"/>
        <v>17372.16</v>
      </c>
      <c r="J148" s="161">
        <f t="shared" si="162"/>
        <v>17372.16</v>
      </c>
      <c r="K148" s="161">
        <f t="shared" si="162"/>
        <v>17372.16</v>
      </c>
      <c r="L148" s="161">
        <f t="shared" si="162"/>
        <v>17372.16</v>
      </c>
      <c r="M148" s="161">
        <f t="shared" si="162"/>
        <v>17372.16</v>
      </c>
      <c r="N148" s="161">
        <f t="shared" si="137"/>
        <v>208465.92000000001</v>
      </c>
    </row>
    <row r="149" spans="1:14" x14ac:dyDescent="0.2">
      <c r="A149" s="50" t="str">
        <f t="shared" si="134"/>
        <v>ISR</v>
      </c>
      <c r="B149" s="161">
        <f t="shared" si="135"/>
        <v>5131.68</v>
      </c>
      <c r="C149" s="161">
        <f t="shared" ref="C149:M149" si="163">B149</f>
        <v>5131.68</v>
      </c>
      <c r="D149" s="161">
        <f t="shared" si="163"/>
        <v>5131.68</v>
      </c>
      <c r="E149" s="161">
        <f t="shared" si="163"/>
        <v>5131.68</v>
      </c>
      <c r="F149" s="161">
        <f t="shared" si="163"/>
        <v>5131.68</v>
      </c>
      <c r="G149" s="161">
        <f t="shared" si="163"/>
        <v>5131.68</v>
      </c>
      <c r="H149" s="161">
        <f t="shared" si="163"/>
        <v>5131.68</v>
      </c>
      <c r="I149" s="161">
        <f t="shared" si="163"/>
        <v>5131.68</v>
      </c>
      <c r="J149" s="161">
        <f t="shared" si="163"/>
        <v>5131.68</v>
      </c>
      <c r="K149" s="161">
        <f t="shared" si="163"/>
        <v>5131.68</v>
      </c>
      <c r="L149" s="161">
        <f t="shared" si="163"/>
        <v>5131.68</v>
      </c>
      <c r="M149" s="161">
        <f t="shared" si="163"/>
        <v>5131.68</v>
      </c>
      <c r="N149" s="161">
        <f t="shared" si="137"/>
        <v>61580.160000000003</v>
      </c>
    </row>
    <row r="150" spans="1:14" x14ac:dyDescent="0.2">
      <c r="A150" s="50" t="str">
        <f t="shared" si="134"/>
        <v>Uniformes y protección</v>
      </c>
      <c r="B150" s="161">
        <f t="shared" si="135"/>
        <v>6400</v>
      </c>
      <c r="C150" s="161">
        <f t="shared" ref="C150:M150" si="164">B150</f>
        <v>6400</v>
      </c>
      <c r="D150" s="161">
        <f t="shared" si="164"/>
        <v>6400</v>
      </c>
      <c r="E150" s="161">
        <f t="shared" si="164"/>
        <v>6400</v>
      </c>
      <c r="F150" s="161">
        <f t="shared" si="164"/>
        <v>6400</v>
      </c>
      <c r="G150" s="161">
        <f t="shared" si="164"/>
        <v>6400</v>
      </c>
      <c r="H150" s="161">
        <f t="shared" si="164"/>
        <v>6400</v>
      </c>
      <c r="I150" s="161">
        <f t="shared" si="164"/>
        <v>6400</v>
      </c>
      <c r="J150" s="161">
        <f t="shared" si="164"/>
        <v>6400</v>
      </c>
      <c r="K150" s="161">
        <f t="shared" si="164"/>
        <v>6400</v>
      </c>
      <c r="L150" s="161">
        <f t="shared" si="164"/>
        <v>6400</v>
      </c>
      <c r="M150" s="161">
        <f t="shared" si="164"/>
        <v>6400</v>
      </c>
      <c r="N150" s="161">
        <f t="shared" si="137"/>
        <v>76800</v>
      </c>
    </row>
    <row r="151" spans="1:14" x14ac:dyDescent="0.2">
      <c r="A151" s="50">
        <f t="shared" si="134"/>
        <v>0</v>
      </c>
      <c r="B151" s="161">
        <f t="shared" si="135"/>
        <v>0</v>
      </c>
      <c r="C151" s="161">
        <f t="shared" ref="C151:M151" si="165">B151</f>
        <v>0</v>
      </c>
      <c r="D151" s="161">
        <f t="shared" si="165"/>
        <v>0</v>
      </c>
      <c r="E151" s="161">
        <f t="shared" si="165"/>
        <v>0</v>
      </c>
      <c r="F151" s="161">
        <f t="shared" si="165"/>
        <v>0</v>
      </c>
      <c r="G151" s="161">
        <f t="shared" si="165"/>
        <v>0</v>
      </c>
      <c r="H151" s="161">
        <f t="shared" si="165"/>
        <v>0</v>
      </c>
      <c r="I151" s="161">
        <f t="shared" si="165"/>
        <v>0</v>
      </c>
      <c r="J151" s="161">
        <f t="shared" si="165"/>
        <v>0</v>
      </c>
      <c r="K151" s="161">
        <f t="shared" si="165"/>
        <v>0</v>
      </c>
      <c r="L151" s="161">
        <f t="shared" si="165"/>
        <v>0</v>
      </c>
      <c r="M151" s="161">
        <f t="shared" si="165"/>
        <v>0</v>
      </c>
      <c r="N151" s="161">
        <f t="shared" si="137"/>
        <v>0</v>
      </c>
    </row>
    <row r="152" spans="1:14" x14ac:dyDescent="0.2">
      <c r="A152" s="50">
        <f t="shared" si="134"/>
        <v>0</v>
      </c>
      <c r="B152" s="161">
        <f t="shared" si="135"/>
        <v>0</v>
      </c>
      <c r="C152" s="161">
        <f t="shared" ref="C152:M152" si="166">B152</f>
        <v>0</v>
      </c>
      <c r="D152" s="161">
        <f t="shared" si="166"/>
        <v>0</v>
      </c>
      <c r="E152" s="161">
        <f t="shared" si="166"/>
        <v>0</v>
      </c>
      <c r="F152" s="161">
        <f t="shared" si="166"/>
        <v>0</v>
      </c>
      <c r="G152" s="161">
        <f t="shared" si="166"/>
        <v>0</v>
      </c>
      <c r="H152" s="161">
        <f t="shared" si="166"/>
        <v>0</v>
      </c>
      <c r="I152" s="161">
        <f t="shared" si="166"/>
        <v>0</v>
      </c>
      <c r="J152" s="161">
        <f t="shared" si="166"/>
        <v>0</v>
      </c>
      <c r="K152" s="161">
        <f t="shared" si="166"/>
        <v>0</v>
      </c>
      <c r="L152" s="161">
        <f t="shared" si="166"/>
        <v>0</v>
      </c>
      <c r="M152" s="161">
        <f t="shared" si="166"/>
        <v>0</v>
      </c>
      <c r="N152" s="161">
        <f t="shared" si="137"/>
        <v>0</v>
      </c>
    </row>
    <row r="153" spans="1:14" x14ac:dyDescent="0.2">
      <c r="A153" s="50">
        <f t="shared" si="134"/>
        <v>0</v>
      </c>
      <c r="B153" s="161">
        <f t="shared" si="135"/>
        <v>0</v>
      </c>
      <c r="C153" s="161">
        <f t="shared" ref="C153:M153" si="167">B153</f>
        <v>0</v>
      </c>
      <c r="D153" s="161">
        <f t="shared" si="167"/>
        <v>0</v>
      </c>
      <c r="E153" s="161">
        <f t="shared" si="167"/>
        <v>0</v>
      </c>
      <c r="F153" s="161">
        <f t="shared" si="167"/>
        <v>0</v>
      </c>
      <c r="G153" s="161">
        <f t="shared" si="167"/>
        <v>0</v>
      </c>
      <c r="H153" s="161">
        <f t="shared" si="167"/>
        <v>0</v>
      </c>
      <c r="I153" s="161">
        <f t="shared" si="167"/>
        <v>0</v>
      </c>
      <c r="J153" s="161">
        <f t="shared" si="167"/>
        <v>0</v>
      </c>
      <c r="K153" s="161">
        <f t="shared" si="167"/>
        <v>0</v>
      </c>
      <c r="L153" s="161">
        <f t="shared" si="167"/>
        <v>0</v>
      </c>
      <c r="M153" s="161">
        <f t="shared" si="167"/>
        <v>0</v>
      </c>
      <c r="N153" s="161">
        <f t="shared" si="137"/>
        <v>0</v>
      </c>
    </row>
    <row r="154" spans="1:14" x14ac:dyDescent="0.2">
      <c r="A154" s="50" t="str">
        <f t="shared" si="134"/>
        <v>Mantenimiento de equipo</v>
      </c>
      <c r="B154" s="161">
        <f t="shared" si="135"/>
        <v>300</v>
      </c>
      <c r="C154" s="161">
        <f t="shared" ref="C154:M154" si="168">B154</f>
        <v>300</v>
      </c>
      <c r="D154" s="161">
        <f t="shared" si="168"/>
        <v>300</v>
      </c>
      <c r="E154" s="161">
        <f t="shared" si="168"/>
        <v>300</v>
      </c>
      <c r="F154" s="161">
        <f t="shared" si="168"/>
        <v>300</v>
      </c>
      <c r="G154" s="161">
        <f t="shared" si="168"/>
        <v>300</v>
      </c>
      <c r="H154" s="161">
        <f t="shared" si="168"/>
        <v>300</v>
      </c>
      <c r="I154" s="161">
        <f t="shared" si="168"/>
        <v>300</v>
      </c>
      <c r="J154" s="161">
        <f t="shared" si="168"/>
        <v>300</v>
      </c>
      <c r="K154" s="161">
        <f t="shared" si="168"/>
        <v>300</v>
      </c>
      <c r="L154" s="161">
        <f t="shared" si="168"/>
        <v>300</v>
      </c>
      <c r="M154" s="161">
        <f t="shared" si="168"/>
        <v>300</v>
      </c>
      <c r="N154" s="161">
        <f t="shared" si="137"/>
        <v>3600</v>
      </c>
    </row>
    <row r="155" spans="1:14" x14ac:dyDescent="0.2">
      <c r="A155" s="50" t="str">
        <f t="shared" si="134"/>
        <v>Sustitución de mobiliario</v>
      </c>
      <c r="B155" s="161">
        <f t="shared" si="135"/>
        <v>200</v>
      </c>
      <c r="C155" s="161">
        <f t="shared" ref="C155:M155" si="169">B155</f>
        <v>200</v>
      </c>
      <c r="D155" s="161">
        <f t="shared" si="169"/>
        <v>200</v>
      </c>
      <c r="E155" s="161">
        <f t="shared" si="169"/>
        <v>200</v>
      </c>
      <c r="F155" s="161">
        <f t="shared" si="169"/>
        <v>200</v>
      </c>
      <c r="G155" s="161">
        <f t="shared" si="169"/>
        <v>200</v>
      </c>
      <c r="H155" s="161">
        <f t="shared" si="169"/>
        <v>200</v>
      </c>
      <c r="I155" s="161">
        <f t="shared" si="169"/>
        <v>200</v>
      </c>
      <c r="J155" s="161">
        <f t="shared" si="169"/>
        <v>200</v>
      </c>
      <c r="K155" s="161">
        <f t="shared" si="169"/>
        <v>200</v>
      </c>
      <c r="L155" s="161">
        <f t="shared" si="169"/>
        <v>200</v>
      </c>
      <c r="M155" s="161">
        <f t="shared" si="169"/>
        <v>200</v>
      </c>
      <c r="N155" s="161">
        <f t="shared" si="137"/>
        <v>2400</v>
      </c>
    </row>
    <row r="156" spans="1:14" x14ac:dyDescent="0.2">
      <c r="A156" s="50" t="str">
        <f t="shared" si="134"/>
        <v>Herramientas menores</v>
      </c>
      <c r="B156" s="161">
        <f t="shared" si="135"/>
        <v>250</v>
      </c>
      <c r="C156" s="161">
        <f t="shared" ref="C156:M156" si="170">B156</f>
        <v>250</v>
      </c>
      <c r="D156" s="161">
        <f t="shared" si="170"/>
        <v>250</v>
      </c>
      <c r="E156" s="161">
        <f t="shared" si="170"/>
        <v>250</v>
      </c>
      <c r="F156" s="161">
        <f t="shared" si="170"/>
        <v>250</v>
      </c>
      <c r="G156" s="161">
        <f t="shared" si="170"/>
        <v>250</v>
      </c>
      <c r="H156" s="161">
        <f t="shared" si="170"/>
        <v>250</v>
      </c>
      <c r="I156" s="161">
        <f t="shared" si="170"/>
        <v>250</v>
      </c>
      <c r="J156" s="161">
        <f t="shared" si="170"/>
        <v>250</v>
      </c>
      <c r="K156" s="161">
        <f t="shared" si="170"/>
        <v>250</v>
      </c>
      <c r="L156" s="161">
        <f t="shared" si="170"/>
        <v>250</v>
      </c>
      <c r="M156" s="161">
        <f t="shared" si="170"/>
        <v>250</v>
      </c>
      <c r="N156" s="161">
        <f t="shared" si="137"/>
        <v>3000</v>
      </c>
    </row>
    <row r="157" spans="1:14" x14ac:dyDescent="0.2">
      <c r="A157" s="50" t="str">
        <f t="shared" si="134"/>
        <v>Pintura / remodelaciones</v>
      </c>
      <c r="B157" s="161">
        <f t="shared" si="135"/>
        <v>150</v>
      </c>
      <c r="C157" s="161">
        <f t="shared" ref="C157:M157" si="171">B157</f>
        <v>150</v>
      </c>
      <c r="D157" s="161">
        <f t="shared" si="171"/>
        <v>150</v>
      </c>
      <c r="E157" s="161">
        <f t="shared" si="171"/>
        <v>150</v>
      </c>
      <c r="F157" s="161">
        <f t="shared" si="171"/>
        <v>150</v>
      </c>
      <c r="G157" s="161">
        <f t="shared" si="171"/>
        <v>150</v>
      </c>
      <c r="H157" s="161">
        <f t="shared" si="171"/>
        <v>150</v>
      </c>
      <c r="I157" s="161">
        <f t="shared" si="171"/>
        <v>150</v>
      </c>
      <c r="J157" s="161">
        <f t="shared" si="171"/>
        <v>150</v>
      </c>
      <c r="K157" s="161">
        <f t="shared" si="171"/>
        <v>150</v>
      </c>
      <c r="L157" s="161">
        <f t="shared" si="171"/>
        <v>150</v>
      </c>
      <c r="M157" s="161">
        <f t="shared" si="171"/>
        <v>150</v>
      </c>
      <c r="N157" s="161">
        <f t="shared" si="137"/>
        <v>1800</v>
      </c>
    </row>
    <row r="158" spans="1:14" x14ac:dyDescent="0.2">
      <c r="A158" s="50" t="str">
        <f t="shared" si="134"/>
        <v>Repuestos / accesorios</v>
      </c>
      <c r="B158" s="161">
        <f t="shared" si="135"/>
        <v>100</v>
      </c>
      <c r="C158" s="161">
        <f t="shared" ref="C158:M158" si="172">B158</f>
        <v>100</v>
      </c>
      <c r="D158" s="161">
        <f t="shared" si="172"/>
        <v>100</v>
      </c>
      <c r="E158" s="161">
        <f t="shared" si="172"/>
        <v>100</v>
      </c>
      <c r="F158" s="161">
        <f t="shared" si="172"/>
        <v>100</v>
      </c>
      <c r="G158" s="161">
        <f t="shared" si="172"/>
        <v>100</v>
      </c>
      <c r="H158" s="161">
        <f t="shared" si="172"/>
        <v>100</v>
      </c>
      <c r="I158" s="161">
        <f t="shared" si="172"/>
        <v>100</v>
      </c>
      <c r="J158" s="161">
        <f t="shared" si="172"/>
        <v>100</v>
      </c>
      <c r="K158" s="161">
        <f t="shared" si="172"/>
        <v>100</v>
      </c>
      <c r="L158" s="161">
        <f t="shared" si="172"/>
        <v>100</v>
      </c>
      <c r="M158" s="161">
        <f t="shared" si="172"/>
        <v>100</v>
      </c>
      <c r="N158" s="161">
        <f t="shared" si="137"/>
        <v>1200</v>
      </c>
    </row>
    <row r="159" spans="1:14" x14ac:dyDescent="0.2">
      <c r="A159" s="64" t="s">
        <v>107</v>
      </c>
      <c r="B159" s="65">
        <f t="shared" ref="B159:N159" si="173">+B122+B110</f>
        <v>416102.21685752028</v>
      </c>
      <c r="C159" s="65">
        <f t="shared" si="173"/>
        <v>420275.81207275065</v>
      </c>
      <c r="D159" s="65">
        <f t="shared" si="173"/>
        <v>416018.74495321559</v>
      </c>
      <c r="E159" s="65">
        <f t="shared" si="173"/>
        <v>422276.6336189321</v>
      </c>
      <c r="F159" s="65">
        <f t="shared" si="173"/>
        <v>426573.7171693907</v>
      </c>
      <c r="G159" s="65">
        <f t="shared" si="173"/>
        <v>419999.17933718901</v>
      </c>
      <c r="H159" s="65">
        <f t="shared" si="173"/>
        <v>417873.41210477718</v>
      </c>
      <c r="I159" s="65">
        <f t="shared" si="173"/>
        <v>422082.43122495263</v>
      </c>
      <c r="J159" s="65">
        <f t="shared" si="173"/>
        <v>417789.23172237363</v>
      </c>
      <c r="K159" s="65">
        <f t="shared" si="173"/>
        <v>415685.56396610988</v>
      </c>
      <c r="L159" s="65">
        <f t="shared" si="173"/>
        <v>419850.82612351206</v>
      </c>
      <c r="M159" s="65">
        <f t="shared" si="173"/>
        <v>424099.39352406235</v>
      </c>
      <c r="N159" s="65">
        <f t="shared" si="173"/>
        <v>5038627.1626747865</v>
      </c>
    </row>
    <row r="161" spans="1:14" ht="15.75" x14ac:dyDescent="0.25">
      <c r="A161" s="665" t="s">
        <v>250</v>
      </c>
      <c r="B161" s="665"/>
      <c r="C161" s="665"/>
      <c r="D161" s="665"/>
      <c r="E161" s="665"/>
      <c r="F161" s="665"/>
      <c r="G161" s="665"/>
      <c r="H161" s="665"/>
      <c r="I161" s="665"/>
      <c r="J161" s="665"/>
      <c r="K161" s="665"/>
      <c r="L161" s="665"/>
      <c r="M161" s="665"/>
      <c r="N161" s="665"/>
    </row>
    <row r="162" spans="1:14" ht="15.75" x14ac:dyDescent="0.25">
      <c r="A162" s="61" t="s">
        <v>104</v>
      </c>
      <c r="B162" s="5">
        <v>1</v>
      </c>
      <c r="C162" s="5">
        <v>2</v>
      </c>
      <c r="D162" s="5">
        <v>3</v>
      </c>
      <c r="E162" s="5">
        <v>4</v>
      </c>
      <c r="F162" s="5">
        <v>5</v>
      </c>
      <c r="G162" s="5">
        <v>6</v>
      </c>
      <c r="H162" s="5">
        <v>7</v>
      </c>
      <c r="I162" s="5">
        <v>8</v>
      </c>
      <c r="J162" s="5">
        <v>9</v>
      </c>
      <c r="K162" s="5">
        <v>10</v>
      </c>
      <c r="L162" s="5">
        <v>11</v>
      </c>
      <c r="M162" s="5">
        <v>12</v>
      </c>
      <c r="N162" s="5" t="s">
        <v>26</v>
      </c>
    </row>
    <row r="163" spans="1:14" ht="15.75" x14ac:dyDescent="0.25">
      <c r="A163" s="62" t="s">
        <v>105</v>
      </c>
      <c r="B163" s="66">
        <f t="shared" ref="B163:N163" si="174">SUM(B164:B174)</f>
        <v>216676.93742806235</v>
      </c>
      <c r="C163" s="66">
        <f t="shared" si="174"/>
        <v>221010.4761766236</v>
      </c>
      <c r="D163" s="66">
        <f t="shared" si="174"/>
        <v>216590.26665309115</v>
      </c>
      <c r="E163" s="66">
        <f t="shared" si="174"/>
        <v>223087.97465268392</v>
      </c>
      <c r="F163" s="66">
        <f t="shared" si="174"/>
        <v>227549.73414573757</v>
      </c>
      <c r="G163" s="66">
        <f t="shared" si="174"/>
        <v>220723.24212136539</v>
      </c>
      <c r="H163" s="66">
        <f t="shared" si="174"/>
        <v>218516.00970015171</v>
      </c>
      <c r="I163" s="66">
        <f t="shared" si="174"/>
        <v>222886.32989415474</v>
      </c>
      <c r="J163" s="66">
        <f t="shared" si="174"/>
        <v>218428.60329627164</v>
      </c>
      <c r="K163" s="66">
        <f t="shared" si="174"/>
        <v>216244.31726330897</v>
      </c>
      <c r="L163" s="66">
        <f t="shared" si="174"/>
        <v>220569.20360857507</v>
      </c>
      <c r="M163" s="66">
        <f t="shared" si="174"/>
        <v>224980.58768074668</v>
      </c>
      <c r="N163" s="66">
        <f t="shared" si="174"/>
        <v>2647263.6826207736</v>
      </c>
    </row>
    <row r="164" spans="1:14" x14ac:dyDescent="0.2">
      <c r="A164" s="19" t="str">
        <f t="shared" ref="A164:A174" si="175">A111</f>
        <v xml:space="preserve">Carne de cerdo adobada al pastor </v>
      </c>
      <c r="B164" s="154">
        <f t="shared" ref="B164:B174" si="176">M111</f>
        <v>127615.05924157424</v>
      </c>
      <c r="C164" s="118">
        <f t="shared" ref="C164:C174" si="177">B164*1.02</f>
        <v>130167.36042640574</v>
      </c>
      <c r="D164" s="118">
        <f t="shared" ref="D164:D174" si="178">C164*0.98</f>
        <v>127564.01321787763</v>
      </c>
      <c r="E164" s="118">
        <f t="shared" ref="E164:E174" si="179">D164*1.03</f>
        <v>131390.93361441395</v>
      </c>
      <c r="F164" s="118">
        <f t="shared" ref="F164:F174" si="180">E164*1.02</f>
        <v>134018.75228670222</v>
      </c>
      <c r="G164" s="118">
        <f t="shared" ref="G164:G174" si="181">F164*0.97</f>
        <v>129998.18971810114</v>
      </c>
      <c r="H164" s="118">
        <f t="shared" ref="H164:H174" si="182">G164*0.99</f>
        <v>128698.20782092013</v>
      </c>
      <c r="I164" s="118">
        <f t="shared" ref="I164:I174" si="183">H164*1.02</f>
        <v>131272.17197733853</v>
      </c>
      <c r="J164" s="118">
        <f t="shared" ref="J164:J174" si="184">I164*0.98</f>
        <v>128646.72853779176</v>
      </c>
      <c r="K164" s="118">
        <f t="shared" ref="K164:K174" si="185">J164*0.99</f>
        <v>127360.26125241384</v>
      </c>
      <c r="L164" s="118">
        <f t="shared" ref="L164:L174" si="186">K164*1.02</f>
        <v>129907.46647746212</v>
      </c>
      <c r="M164" s="118">
        <f t="shared" ref="M164:M174" si="187">1.02*L164</f>
        <v>132505.61580701137</v>
      </c>
      <c r="N164" s="156">
        <f t="shared" ref="N164:N174" si="188">SUM(B164:M164)</f>
        <v>1559144.7603780129</v>
      </c>
    </row>
    <row r="165" spans="1:14" x14ac:dyDescent="0.2">
      <c r="A165" s="19" t="str">
        <f t="shared" si="175"/>
        <v>Tortilla de maíz</v>
      </c>
      <c r="B165" s="154">
        <f t="shared" si="176"/>
        <v>5104.6023696629709</v>
      </c>
      <c r="C165" s="118">
        <f t="shared" si="177"/>
        <v>5206.6944170562301</v>
      </c>
      <c r="D165" s="118">
        <f t="shared" si="178"/>
        <v>5102.5605287151056</v>
      </c>
      <c r="E165" s="118">
        <f t="shared" si="179"/>
        <v>5255.6373445765594</v>
      </c>
      <c r="F165" s="118">
        <f t="shared" si="180"/>
        <v>5360.7500914680904</v>
      </c>
      <c r="G165" s="118">
        <f t="shared" si="181"/>
        <v>5199.9275887240474</v>
      </c>
      <c r="H165" s="118">
        <f t="shared" si="182"/>
        <v>5147.928312836807</v>
      </c>
      <c r="I165" s="118">
        <f t="shared" si="183"/>
        <v>5250.886879093543</v>
      </c>
      <c r="J165" s="118">
        <f t="shared" si="184"/>
        <v>5145.8691415116718</v>
      </c>
      <c r="K165" s="118">
        <f t="shared" si="185"/>
        <v>5094.410450096555</v>
      </c>
      <c r="L165" s="118">
        <f t="shared" si="186"/>
        <v>5196.2986590984865</v>
      </c>
      <c r="M165" s="118">
        <f t="shared" si="187"/>
        <v>5300.2246322804567</v>
      </c>
      <c r="N165" s="156">
        <f t="shared" si="188"/>
        <v>62365.790415120522</v>
      </c>
    </row>
    <row r="166" spans="1:14" x14ac:dyDescent="0.2">
      <c r="A166" s="19" t="str">
        <f t="shared" si="175"/>
        <v>Piña</v>
      </c>
      <c r="B166" s="154">
        <f t="shared" si="176"/>
        <v>2686.6328261384051</v>
      </c>
      <c r="C166" s="118">
        <f t="shared" si="177"/>
        <v>2740.3654826611732</v>
      </c>
      <c r="D166" s="118">
        <f t="shared" si="178"/>
        <v>2685.5581730079498</v>
      </c>
      <c r="E166" s="118">
        <f t="shared" si="179"/>
        <v>2766.1249181981884</v>
      </c>
      <c r="F166" s="118">
        <f t="shared" si="180"/>
        <v>2821.4474165621523</v>
      </c>
      <c r="G166" s="118">
        <f t="shared" si="181"/>
        <v>2736.8039940652875</v>
      </c>
      <c r="H166" s="118">
        <f t="shared" si="182"/>
        <v>2709.4359541246345</v>
      </c>
      <c r="I166" s="118">
        <f t="shared" si="183"/>
        <v>2763.6246732071272</v>
      </c>
      <c r="J166" s="118">
        <f t="shared" si="184"/>
        <v>2708.3521797429848</v>
      </c>
      <c r="K166" s="118">
        <f t="shared" si="185"/>
        <v>2681.2686579455549</v>
      </c>
      <c r="L166" s="118">
        <f t="shared" si="186"/>
        <v>2734.8940311044662</v>
      </c>
      <c r="M166" s="118">
        <f t="shared" si="187"/>
        <v>2789.5919117265557</v>
      </c>
      <c r="N166" s="156">
        <f t="shared" si="188"/>
        <v>32824.100218484484</v>
      </c>
    </row>
    <row r="167" spans="1:14" x14ac:dyDescent="0.2">
      <c r="A167" s="19" t="str">
        <f t="shared" si="175"/>
        <v>Cebolla</v>
      </c>
      <c r="B167" s="154">
        <f t="shared" si="176"/>
        <v>1343.3164130692026</v>
      </c>
      <c r="C167" s="118">
        <f t="shared" si="177"/>
        <v>1370.1827413305866</v>
      </c>
      <c r="D167" s="118">
        <f t="shared" si="178"/>
        <v>1342.7790865039749</v>
      </c>
      <c r="E167" s="118">
        <f t="shared" si="179"/>
        <v>1383.0624590990942</v>
      </c>
      <c r="F167" s="118">
        <f t="shared" si="180"/>
        <v>1410.7237082810761</v>
      </c>
      <c r="G167" s="118">
        <f t="shared" si="181"/>
        <v>1368.4019970326437</v>
      </c>
      <c r="H167" s="118">
        <f t="shared" si="182"/>
        <v>1354.7179770623172</v>
      </c>
      <c r="I167" s="118">
        <f t="shared" si="183"/>
        <v>1381.8123366035636</v>
      </c>
      <c r="J167" s="118">
        <f t="shared" si="184"/>
        <v>1354.1760898714924</v>
      </c>
      <c r="K167" s="118">
        <f t="shared" si="185"/>
        <v>1340.6343289727774</v>
      </c>
      <c r="L167" s="118">
        <f t="shared" si="186"/>
        <v>1367.4470155522331</v>
      </c>
      <c r="M167" s="118">
        <f t="shared" si="187"/>
        <v>1394.7959558632779</v>
      </c>
      <c r="N167" s="156">
        <f t="shared" si="188"/>
        <v>16412.050109242242</v>
      </c>
    </row>
    <row r="168" spans="1:14" x14ac:dyDescent="0.2">
      <c r="A168" s="19" t="str">
        <f t="shared" si="175"/>
        <v>Cilantro</v>
      </c>
      <c r="B168" s="154">
        <f t="shared" si="176"/>
        <v>1343.3164130692026</v>
      </c>
      <c r="C168" s="118">
        <f t="shared" si="177"/>
        <v>1370.1827413305866</v>
      </c>
      <c r="D168" s="118">
        <f t="shared" si="178"/>
        <v>1342.7790865039749</v>
      </c>
      <c r="E168" s="118">
        <f t="shared" si="179"/>
        <v>1383.0624590990942</v>
      </c>
      <c r="F168" s="118">
        <f t="shared" si="180"/>
        <v>1410.7237082810761</v>
      </c>
      <c r="G168" s="118">
        <f t="shared" si="181"/>
        <v>1368.4019970326437</v>
      </c>
      <c r="H168" s="118">
        <f t="shared" si="182"/>
        <v>1354.7179770623172</v>
      </c>
      <c r="I168" s="118">
        <f t="shared" si="183"/>
        <v>1381.8123366035636</v>
      </c>
      <c r="J168" s="118">
        <f t="shared" si="184"/>
        <v>1354.1760898714924</v>
      </c>
      <c r="K168" s="118">
        <f t="shared" si="185"/>
        <v>1340.6343289727774</v>
      </c>
      <c r="L168" s="118">
        <f t="shared" si="186"/>
        <v>1367.4470155522331</v>
      </c>
      <c r="M168" s="118">
        <f t="shared" si="187"/>
        <v>1394.7959558632779</v>
      </c>
      <c r="N168" s="156">
        <f t="shared" si="188"/>
        <v>16412.050109242242</v>
      </c>
    </row>
    <row r="169" spans="1:14" x14ac:dyDescent="0.2">
      <c r="A169" s="19" t="str">
        <f t="shared" si="175"/>
        <v xml:space="preserve">Carne de cerdo marinada estilo oriental </v>
      </c>
      <c r="B169" s="154">
        <f t="shared" si="176"/>
        <v>50374.365490095086</v>
      </c>
      <c r="C169" s="118">
        <f t="shared" si="177"/>
        <v>51381.852799896988</v>
      </c>
      <c r="D169" s="118">
        <f t="shared" si="178"/>
        <v>50354.215743899047</v>
      </c>
      <c r="E169" s="118">
        <f t="shared" si="179"/>
        <v>51864.84221621602</v>
      </c>
      <c r="F169" s="118">
        <f t="shared" si="180"/>
        <v>52902.139060540343</v>
      </c>
      <c r="G169" s="118">
        <f t="shared" si="181"/>
        <v>51315.074888724128</v>
      </c>
      <c r="H169" s="118">
        <f t="shared" si="182"/>
        <v>50801.924139836883</v>
      </c>
      <c r="I169" s="118">
        <f t="shared" si="183"/>
        <v>51817.962622633619</v>
      </c>
      <c r="J169" s="118">
        <f t="shared" si="184"/>
        <v>50781.603370180943</v>
      </c>
      <c r="K169" s="118">
        <f t="shared" si="185"/>
        <v>50273.78733647913</v>
      </c>
      <c r="L169" s="118">
        <f t="shared" si="186"/>
        <v>51279.263083208716</v>
      </c>
      <c r="M169" s="118">
        <f t="shared" si="187"/>
        <v>52304.848344872895</v>
      </c>
      <c r="N169" s="156">
        <f t="shared" si="188"/>
        <v>615451.87909658381</v>
      </c>
    </row>
    <row r="170" spans="1:14" x14ac:dyDescent="0.2">
      <c r="A170" s="19" t="str">
        <f t="shared" si="175"/>
        <v>Pan árabe (Pita)</v>
      </c>
      <c r="B170" s="154">
        <f t="shared" si="176"/>
        <v>4029.9492392076068</v>
      </c>
      <c r="C170" s="118">
        <f t="shared" si="177"/>
        <v>4110.5482239917592</v>
      </c>
      <c r="D170" s="118">
        <f t="shared" si="178"/>
        <v>4028.337259511924</v>
      </c>
      <c r="E170" s="118">
        <f t="shared" si="179"/>
        <v>4149.1873772972822</v>
      </c>
      <c r="F170" s="118">
        <f t="shared" si="180"/>
        <v>4232.1711248432275</v>
      </c>
      <c r="G170" s="118">
        <f t="shared" si="181"/>
        <v>4105.2059910979306</v>
      </c>
      <c r="H170" s="118">
        <f t="shared" si="182"/>
        <v>4064.153931186951</v>
      </c>
      <c r="I170" s="118">
        <f t="shared" si="183"/>
        <v>4145.4370098106901</v>
      </c>
      <c r="J170" s="118">
        <f t="shared" si="184"/>
        <v>4062.5282696144764</v>
      </c>
      <c r="K170" s="118">
        <f t="shared" si="185"/>
        <v>4021.9029869183314</v>
      </c>
      <c r="L170" s="118">
        <f t="shared" si="186"/>
        <v>4102.3410466566984</v>
      </c>
      <c r="M170" s="118">
        <f t="shared" si="187"/>
        <v>4184.3878675898322</v>
      </c>
      <c r="N170" s="156">
        <f t="shared" si="188"/>
        <v>49236.150327726704</v>
      </c>
    </row>
    <row r="171" spans="1:14" x14ac:dyDescent="0.2">
      <c r="A171" s="19" t="str">
        <f t="shared" si="175"/>
        <v>Tocino</v>
      </c>
      <c r="B171" s="154">
        <f t="shared" si="176"/>
        <v>14104.822337226617</v>
      </c>
      <c r="C171" s="118">
        <f t="shared" si="177"/>
        <v>14386.918783971149</v>
      </c>
      <c r="D171" s="118">
        <f t="shared" si="178"/>
        <v>14099.180408291726</v>
      </c>
      <c r="E171" s="118">
        <f t="shared" si="179"/>
        <v>14522.155820540478</v>
      </c>
      <c r="F171" s="118">
        <f t="shared" si="180"/>
        <v>14812.598936951288</v>
      </c>
      <c r="G171" s="118">
        <f t="shared" si="181"/>
        <v>14368.220968842748</v>
      </c>
      <c r="H171" s="118">
        <f t="shared" si="182"/>
        <v>14224.53875915432</v>
      </c>
      <c r="I171" s="118">
        <f t="shared" si="183"/>
        <v>14509.029534337407</v>
      </c>
      <c r="J171" s="118">
        <f t="shared" si="184"/>
        <v>14218.848943650659</v>
      </c>
      <c r="K171" s="118">
        <f t="shared" si="185"/>
        <v>14076.660454214152</v>
      </c>
      <c r="L171" s="118">
        <f t="shared" si="186"/>
        <v>14358.193663298436</v>
      </c>
      <c r="M171" s="118">
        <f t="shared" si="187"/>
        <v>14645.357536564405</v>
      </c>
      <c r="N171" s="156">
        <f t="shared" si="188"/>
        <v>172326.52614704342</v>
      </c>
    </row>
    <row r="172" spans="1:14" x14ac:dyDescent="0.2">
      <c r="A172" s="19" t="str">
        <f t="shared" si="175"/>
        <v>Chile poblano</v>
      </c>
      <c r="B172" s="154">
        <f t="shared" si="176"/>
        <v>4029.9492392076068</v>
      </c>
      <c r="C172" s="118">
        <f t="shared" si="177"/>
        <v>4110.5482239917592</v>
      </c>
      <c r="D172" s="118">
        <f t="shared" si="178"/>
        <v>4028.337259511924</v>
      </c>
      <c r="E172" s="118">
        <f t="shared" si="179"/>
        <v>4149.1873772972822</v>
      </c>
      <c r="F172" s="118">
        <f t="shared" si="180"/>
        <v>4232.1711248432275</v>
      </c>
      <c r="G172" s="118">
        <f t="shared" si="181"/>
        <v>4105.2059910979306</v>
      </c>
      <c r="H172" s="118">
        <f t="shared" si="182"/>
        <v>4064.153931186951</v>
      </c>
      <c r="I172" s="118">
        <f t="shared" si="183"/>
        <v>4145.4370098106901</v>
      </c>
      <c r="J172" s="118">
        <f t="shared" si="184"/>
        <v>4062.5282696144764</v>
      </c>
      <c r="K172" s="118">
        <f t="shared" si="185"/>
        <v>4021.9029869183314</v>
      </c>
      <c r="L172" s="118">
        <f t="shared" si="186"/>
        <v>4102.3410466566984</v>
      </c>
      <c r="M172" s="118">
        <f t="shared" si="187"/>
        <v>4184.3878675898322</v>
      </c>
      <c r="N172" s="156">
        <f t="shared" si="188"/>
        <v>49236.150327726704</v>
      </c>
    </row>
    <row r="173" spans="1:14" x14ac:dyDescent="0.2">
      <c r="A173" s="19" t="str">
        <f t="shared" si="175"/>
        <v>Cebolla</v>
      </c>
      <c r="B173" s="154">
        <f t="shared" si="176"/>
        <v>3358.2910326730048</v>
      </c>
      <c r="C173" s="118">
        <f t="shared" si="177"/>
        <v>3425.4568533264651</v>
      </c>
      <c r="D173" s="118">
        <f t="shared" si="178"/>
        <v>3356.9477162599355</v>
      </c>
      <c r="E173" s="118">
        <f t="shared" si="179"/>
        <v>3457.6561477477335</v>
      </c>
      <c r="F173" s="118">
        <f t="shared" si="180"/>
        <v>3526.8092707026881</v>
      </c>
      <c r="G173" s="118">
        <f t="shared" si="181"/>
        <v>3421.0049925816074</v>
      </c>
      <c r="H173" s="118">
        <f t="shared" si="182"/>
        <v>3386.7949426557911</v>
      </c>
      <c r="I173" s="118">
        <f t="shared" si="183"/>
        <v>3454.5308415089071</v>
      </c>
      <c r="J173" s="118">
        <f t="shared" si="184"/>
        <v>3385.440224678729</v>
      </c>
      <c r="K173" s="118">
        <f t="shared" si="185"/>
        <v>3351.5858224319418</v>
      </c>
      <c r="L173" s="118">
        <f t="shared" si="186"/>
        <v>3418.6175388805805</v>
      </c>
      <c r="M173" s="118">
        <f t="shared" si="187"/>
        <v>3486.9898896581922</v>
      </c>
      <c r="N173" s="156">
        <f t="shared" si="188"/>
        <v>41030.125273105572</v>
      </c>
    </row>
    <row r="174" spans="1:14" x14ac:dyDescent="0.2">
      <c r="A174" s="19" t="str">
        <f t="shared" si="175"/>
        <v>Jitomate</v>
      </c>
      <c r="B174" s="154">
        <f t="shared" si="176"/>
        <v>2686.6328261384051</v>
      </c>
      <c r="C174" s="118">
        <f t="shared" si="177"/>
        <v>2740.3654826611732</v>
      </c>
      <c r="D174" s="118">
        <f t="shared" si="178"/>
        <v>2685.5581730079498</v>
      </c>
      <c r="E174" s="118">
        <f t="shared" si="179"/>
        <v>2766.1249181981884</v>
      </c>
      <c r="F174" s="118">
        <f t="shared" si="180"/>
        <v>2821.4474165621523</v>
      </c>
      <c r="G174" s="118">
        <f t="shared" si="181"/>
        <v>2736.8039940652875</v>
      </c>
      <c r="H174" s="118">
        <f t="shared" si="182"/>
        <v>2709.4359541246345</v>
      </c>
      <c r="I174" s="118">
        <f t="shared" si="183"/>
        <v>2763.6246732071272</v>
      </c>
      <c r="J174" s="118">
        <f t="shared" si="184"/>
        <v>2708.3521797429848</v>
      </c>
      <c r="K174" s="118">
        <f t="shared" si="185"/>
        <v>2681.2686579455549</v>
      </c>
      <c r="L174" s="118">
        <f t="shared" si="186"/>
        <v>2734.8940311044662</v>
      </c>
      <c r="M174" s="118">
        <f t="shared" si="187"/>
        <v>2789.5919117265557</v>
      </c>
      <c r="N174" s="156">
        <f t="shared" si="188"/>
        <v>32824.100218484484</v>
      </c>
    </row>
    <row r="175" spans="1:14" ht="15.75" x14ac:dyDescent="0.25">
      <c r="A175" s="62" t="s">
        <v>106</v>
      </c>
      <c r="B175" s="162">
        <f t="shared" ref="B175:N175" si="189">SUM(B176:B200,B205:B211)</f>
        <v>207422.45609599998</v>
      </c>
      <c r="C175" s="162">
        <f t="shared" si="189"/>
        <v>207422.45609599998</v>
      </c>
      <c r="D175" s="162">
        <f t="shared" si="189"/>
        <v>207422.45609599998</v>
      </c>
      <c r="E175" s="162">
        <f t="shared" si="189"/>
        <v>207422.45609599998</v>
      </c>
      <c r="F175" s="162">
        <f t="shared" si="189"/>
        <v>207422.45609599998</v>
      </c>
      <c r="G175" s="162">
        <f t="shared" si="189"/>
        <v>207422.45609599998</v>
      </c>
      <c r="H175" s="162">
        <f t="shared" si="189"/>
        <v>207422.45609599998</v>
      </c>
      <c r="I175" s="162">
        <f t="shared" si="189"/>
        <v>207422.45609599998</v>
      </c>
      <c r="J175" s="162">
        <f t="shared" si="189"/>
        <v>207422.45609599998</v>
      </c>
      <c r="K175" s="162">
        <f t="shared" si="189"/>
        <v>207422.45609599998</v>
      </c>
      <c r="L175" s="162">
        <f t="shared" si="189"/>
        <v>207422.45609599998</v>
      </c>
      <c r="M175" s="162">
        <f t="shared" si="189"/>
        <v>207422.45609599998</v>
      </c>
      <c r="N175" s="162">
        <f t="shared" si="189"/>
        <v>2489069.473152</v>
      </c>
    </row>
    <row r="176" spans="1:14" x14ac:dyDescent="0.2">
      <c r="A176" s="50" t="str">
        <f t="shared" ref="A176:B195" si="190">A123</f>
        <v>Renta del local</v>
      </c>
      <c r="B176" s="161">
        <f t="shared" si="190"/>
        <v>16000</v>
      </c>
      <c r="C176" s="161">
        <f t="shared" ref="C176:M176" si="191">B176</f>
        <v>16000</v>
      </c>
      <c r="D176" s="161">
        <f t="shared" si="191"/>
        <v>16000</v>
      </c>
      <c r="E176" s="161">
        <f t="shared" si="191"/>
        <v>16000</v>
      </c>
      <c r="F176" s="161">
        <f t="shared" si="191"/>
        <v>16000</v>
      </c>
      <c r="G176" s="161">
        <f t="shared" si="191"/>
        <v>16000</v>
      </c>
      <c r="H176" s="161">
        <f t="shared" si="191"/>
        <v>16000</v>
      </c>
      <c r="I176" s="161">
        <f t="shared" si="191"/>
        <v>16000</v>
      </c>
      <c r="J176" s="161">
        <f t="shared" si="191"/>
        <v>16000</v>
      </c>
      <c r="K176" s="161">
        <f t="shared" si="191"/>
        <v>16000</v>
      </c>
      <c r="L176" s="161">
        <f t="shared" si="191"/>
        <v>16000</v>
      </c>
      <c r="M176" s="161">
        <f t="shared" si="191"/>
        <v>16000</v>
      </c>
      <c r="N176" s="161">
        <f t="shared" ref="N176:N211" si="192">SUM(B176:M176)</f>
        <v>192000</v>
      </c>
    </row>
    <row r="177" spans="1:14" x14ac:dyDescent="0.2">
      <c r="A177" s="50" t="str">
        <f t="shared" si="190"/>
        <v>Internet / teléfono</v>
      </c>
      <c r="B177" s="161">
        <f t="shared" si="190"/>
        <v>600</v>
      </c>
      <c r="C177" s="161">
        <f t="shared" ref="C177:M177" si="193">B177</f>
        <v>600</v>
      </c>
      <c r="D177" s="161">
        <f t="shared" si="193"/>
        <v>600</v>
      </c>
      <c r="E177" s="161">
        <f t="shared" si="193"/>
        <v>600</v>
      </c>
      <c r="F177" s="161">
        <f t="shared" si="193"/>
        <v>600</v>
      </c>
      <c r="G177" s="161">
        <f t="shared" si="193"/>
        <v>600</v>
      </c>
      <c r="H177" s="161">
        <f t="shared" si="193"/>
        <v>600</v>
      </c>
      <c r="I177" s="161">
        <f t="shared" si="193"/>
        <v>600</v>
      </c>
      <c r="J177" s="161">
        <f t="shared" si="193"/>
        <v>600</v>
      </c>
      <c r="K177" s="161">
        <f t="shared" si="193"/>
        <v>600</v>
      </c>
      <c r="L177" s="161">
        <f t="shared" si="193"/>
        <v>600</v>
      </c>
      <c r="M177" s="161">
        <f t="shared" si="193"/>
        <v>600</v>
      </c>
      <c r="N177" s="161">
        <f t="shared" si="192"/>
        <v>7200</v>
      </c>
    </row>
    <row r="178" spans="1:14" x14ac:dyDescent="0.2">
      <c r="A178" s="50" t="str">
        <f t="shared" si="190"/>
        <v>Permisos y licencias</v>
      </c>
      <c r="B178" s="161">
        <f t="shared" si="190"/>
        <v>400</v>
      </c>
      <c r="C178" s="161">
        <f t="shared" ref="C178:M178" si="194">B178</f>
        <v>400</v>
      </c>
      <c r="D178" s="161">
        <f t="shared" si="194"/>
        <v>400</v>
      </c>
      <c r="E178" s="161">
        <f t="shared" si="194"/>
        <v>400</v>
      </c>
      <c r="F178" s="161">
        <f t="shared" si="194"/>
        <v>400</v>
      </c>
      <c r="G178" s="161">
        <f t="shared" si="194"/>
        <v>400</v>
      </c>
      <c r="H178" s="161">
        <f t="shared" si="194"/>
        <v>400</v>
      </c>
      <c r="I178" s="161">
        <f t="shared" si="194"/>
        <v>400</v>
      </c>
      <c r="J178" s="161">
        <f t="shared" si="194"/>
        <v>400</v>
      </c>
      <c r="K178" s="161">
        <f t="shared" si="194"/>
        <v>400</v>
      </c>
      <c r="L178" s="161">
        <f t="shared" si="194"/>
        <v>400</v>
      </c>
      <c r="M178" s="161">
        <f t="shared" si="194"/>
        <v>400</v>
      </c>
      <c r="N178" s="161">
        <f t="shared" si="192"/>
        <v>4800</v>
      </c>
    </row>
    <row r="179" spans="1:14" x14ac:dyDescent="0.2">
      <c r="A179" s="50" t="str">
        <f t="shared" si="190"/>
        <v>Mantenimiento</v>
      </c>
      <c r="B179" s="161">
        <f t="shared" si="190"/>
        <v>500</v>
      </c>
      <c r="C179" s="161">
        <f t="shared" ref="C179:M179" si="195">B179</f>
        <v>500</v>
      </c>
      <c r="D179" s="161">
        <f t="shared" si="195"/>
        <v>500</v>
      </c>
      <c r="E179" s="161">
        <f t="shared" si="195"/>
        <v>500</v>
      </c>
      <c r="F179" s="161">
        <f t="shared" si="195"/>
        <v>500</v>
      </c>
      <c r="G179" s="161">
        <f t="shared" si="195"/>
        <v>500</v>
      </c>
      <c r="H179" s="161">
        <f t="shared" si="195"/>
        <v>500</v>
      </c>
      <c r="I179" s="161">
        <f t="shared" si="195"/>
        <v>500</v>
      </c>
      <c r="J179" s="161">
        <f t="shared" si="195"/>
        <v>500</v>
      </c>
      <c r="K179" s="161">
        <f t="shared" si="195"/>
        <v>500</v>
      </c>
      <c r="L179" s="161">
        <f t="shared" si="195"/>
        <v>500</v>
      </c>
      <c r="M179" s="161">
        <f t="shared" si="195"/>
        <v>500</v>
      </c>
      <c r="N179" s="161">
        <f t="shared" si="192"/>
        <v>6000</v>
      </c>
    </row>
    <row r="180" spans="1:14" x14ac:dyDescent="0.2">
      <c r="A180" s="50" t="str">
        <f t="shared" si="190"/>
        <v>Depreciaciones</v>
      </c>
      <c r="B180" s="161">
        <f t="shared" si="190"/>
        <v>1500</v>
      </c>
      <c r="C180" s="161">
        <f t="shared" ref="C180:M180" si="196">B180</f>
        <v>1500</v>
      </c>
      <c r="D180" s="161">
        <f t="shared" si="196"/>
        <v>1500</v>
      </c>
      <c r="E180" s="161">
        <f t="shared" si="196"/>
        <v>1500</v>
      </c>
      <c r="F180" s="161">
        <f t="shared" si="196"/>
        <v>1500</v>
      </c>
      <c r="G180" s="161">
        <f t="shared" si="196"/>
        <v>1500</v>
      </c>
      <c r="H180" s="161">
        <f t="shared" si="196"/>
        <v>1500</v>
      </c>
      <c r="I180" s="161">
        <f t="shared" si="196"/>
        <v>1500</v>
      </c>
      <c r="J180" s="161">
        <f t="shared" si="196"/>
        <v>1500</v>
      </c>
      <c r="K180" s="161">
        <f t="shared" si="196"/>
        <v>1500</v>
      </c>
      <c r="L180" s="161">
        <f t="shared" si="196"/>
        <v>1500</v>
      </c>
      <c r="M180" s="161">
        <f t="shared" si="196"/>
        <v>1500</v>
      </c>
      <c r="N180" s="161">
        <f t="shared" si="192"/>
        <v>18000</v>
      </c>
    </row>
    <row r="181" spans="1:14" x14ac:dyDescent="0.2">
      <c r="A181" s="50" t="str">
        <f t="shared" si="190"/>
        <v>Energía eléctrica (Pago bimestral)</v>
      </c>
      <c r="B181" s="161">
        <f t="shared" si="190"/>
        <v>700</v>
      </c>
      <c r="C181" s="161">
        <f t="shared" ref="C181:M181" si="197">B181</f>
        <v>700</v>
      </c>
      <c r="D181" s="161">
        <f t="shared" si="197"/>
        <v>700</v>
      </c>
      <c r="E181" s="161">
        <f t="shared" si="197"/>
        <v>700</v>
      </c>
      <c r="F181" s="161">
        <f t="shared" si="197"/>
        <v>700</v>
      </c>
      <c r="G181" s="161">
        <f t="shared" si="197"/>
        <v>700</v>
      </c>
      <c r="H181" s="161">
        <f t="shared" si="197"/>
        <v>700</v>
      </c>
      <c r="I181" s="161">
        <f t="shared" si="197"/>
        <v>700</v>
      </c>
      <c r="J181" s="161">
        <f t="shared" si="197"/>
        <v>700</v>
      </c>
      <c r="K181" s="161">
        <f t="shared" si="197"/>
        <v>700</v>
      </c>
      <c r="L181" s="161">
        <f t="shared" si="197"/>
        <v>700</v>
      </c>
      <c r="M181" s="161">
        <f t="shared" si="197"/>
        <v>700</v>
      </c>
      <c r="N181" s="161">
        <f t="shared" si="192"/>
        <v>8400</v>
      </c>
    </row>
    <row r="182" spans="1:14" x14ac:dyDescent="0.2">
      <c r="A182" s="50" t="str">
        <f t="shared" si="190"/>
        <v>Agua</v>
      </c>
      <c r="B182" s="161">
        <f t="shared" si="190"/>
        <v>400</v>
      </c>
      <c r="C182" s="161">
        <f t="shared" ref="C182:M182" si="198">B182</f>
        <v>400</v>
      </c>
      <c r="D182" s="161">
        <f t="shared" si="198"/>
        <v>400</v>
      </c>
      <c r="E182" s="161">
        <f t="shared" si="198"/>
        <v>400</v>
      </c>
      <c r="F182" s="161">
        <f t="shared" si="198"/>
        <v>400</v>
      </c>
      <c r="G182" s="161">
        <f t="shared" si="198"/>
        <v>400</v>
      </c>
      <c r="H182" s="161">
        <f t="shared" si="198"/>
        <v>400</v>
      </c>
      <c r="I182" s="161">
        <f t="shared" si="198"/>
        <v>400</v>
      </c>
      <c r="J182" s="161">
        <f t="shared" si="198"/>
        <v>400</v>
      </c>
      <c r="K182" s="161">
        <f t="shared" si="198"/>
        <v>400</v>
      </c>
      <c r="L182" s="161">
        <f t="shared" si="198"/>
        <v>400</v>
      </c>
      <c r="M182" s="161">
        <f t="shared" si="198"/>
        <v>400</v>
      </c>
      <c r="N182" s="161">
        <f t="shared" si="192"/>
        <v>4800</v>
      </c>
    </row>
    <row r="183" spans="1:14" x14ac:dyDescent="0.2">
      <c r="A183" s="50" t="str">
        <f t="shared" si="190"/>
        <v>Gas estacionario</v>
      </c>
      <c r="B183" s="161">
        <f t="shared" si="190"/>
        <v>1200</v>
      </c>
      <c r="C183" s="161">
        <f t="shared" ref="C183:M183" si="199">B183</f>
        <v>1200</v>
      </c>
      <c r="D183" s="161">
        <f t="shared" si="199"/>
        <v>1200</v>
      </c>
      <c r="E183" s="161">
        <f t="shared" si="199"/>
        <v>1200</v>
      </c>
      <c r="F183" s="161">
        <f t="shared" si="199"/>
        <v>1200</v>
      </c>
      <c r="G183" s="161">
        <f t="shared" si="199"/>
        <v>1200</v>
      </c>
      <c r="H183" s="161">
        <f t="shared" si="199"/>
        <v>1200</v>
      </c>
      <c r="I183" s="161">
        <f t="shared" si="199"/>
        <v>1200</v>
      </c>
      <c r="J183" s="161">
        <f t="shared" si="199"/>
        <v>1200</v>
      </c>
      <c r="K183" s="161">
        <f t="shared" si="199"/>
        <v>1200</v>
      </c>
      <c r="L183" s="161">
        <f t="shared" si="199"/>
        <v>1200</v>
      </c>
      <c r="M183" s="161">
        <f t="shared" si="199"/>
        <v>1200</v>
      </c>
      <c r="N183" s="161">
        <f t="shared" si="192"/>
        <v>14400</v>
      </c>
    </row>
    <row r="184" spans="1:14" x14ac:dyDescent="0.2">
      <c r="A184" s="50" t="str">
        <f t="shared" si="190"/>
        <v>Limpieza / fumigación</v>
      </c>
      <c r="B184" s="161">
        <f t="shared" si="190"/>
        <v>300</v>
      </c>
      <c r="C184" s="161">
        <f t="shared" ref="C184:M184" si="200">B184</f>
        <v>300</v>
      </c>
      <c r="D184" s="161">
        <f t="shared" si="200"/>
        <v>300</v>
      </c>
      <c r="E184" s="161">
        <f t="shared" si="200"/>
        <v>300</v>
      </c>
      <c r="F184" s="161">
        <f t="shared" si="200"/>
        <v>300</v>
      </c>
      <c r="G184" s="161">
        <f t="shared" si="200"/>
        <v>300</v>
      </c>
      <c r="H184" s="161">
        <f t="shared" si="200"/>
        <v>300</v>
      </c>
      <c r="I184" s="161">
        <f t="shared" si="200"/>
        <v>300</v>
      </c>
      <c r="J184" s="161">
        <f t="shared" si="200"/>
        <v>300</v>
      </c>
      <c r="K184" s="161">
        <f t="shared" si="200"/>
        <v>300</v>
      </c>
      <c r="L184" s="161">
        <f t="shared" si="200"/>
        <v>300</v>
      </c>
      <c r="M184" s="161">
        <f t="shared" si="200"/>
        <v>300</v>
      </c>
      <c r="N184" s="161">
        <f t="shared" si="192"/>
        <v>3600</v>
      </c>
    </row>
    <row r="185" spans="1:14" x14ac:dyDescent="0.2">
      <c r="A185" s="50" t="str">
        <f t="shared" si="190"/>
        <v>Mesero</v>
      </c>
      <c r="B185" s="161">
        <f t="shared" si="190"/>
        <v>20299.32</v>
      </c>
      <c r="C185" s="161">
        <f t="shared" ref="C185:M185" si="201">B185</f>
        <v>20299.32</v>
      </c>
      <c r="D185" s="161">
        <f t="shared" si="201"/>
        <v>20299.32</v>
      </c>
      <c r="E185" s="161">
        <f t="shared" si="201"/>
        <v>20299.32</v>
      </c>
      <c r="F185" s="161">
        <f t="shared" si="201"/>
        <v>20299.32</v>
      </c>
      <c r="G185" s="161">
        <f t="shared" si="201"/>
        <v>20299.32</v>
      </c>
      <c r="H185" s="161">
        <f t="shared" si="201"/>
        <v>20299.32</v>
      </c>
      <c r="I185" s="161">
        <f t="shared" si="201"/>
        <v>20299.32</v>
      </c>
      <c r="J185" s="161">
        <f t="shared" si="201"/>
        <v>20299.32</v>
      </c>
      <c r="K185" s="161">
        <f t="shared" si="201"/>
        <v>20299.32</v>
      </c>
      <c r="L185" s="161">
        <f t="shared" si="201"/>
        <v>20299.32</v>
      </c>
      <c r="M185" s="161">
        <f t="shared" si="201"/>
        <v>20299.32</v>
      </c>
      <c r="N185" s="161">
        <f t="shared" si="192"/>
        <v>243591.84000000005</v>
      </c>
    </row>
    <row r="186" spans="1:14" x14ac:dyDescent="0.2">
      <c r="A186" s="50" t="str">
        <f t="shared" si="190"/>
        <v>Verduras, ensaladas y guarniciones</v>
      </c>
      <c r="B186" s="161">
        <f t="shared" si="190"/>
        <v>6348.32</v>
      </c>
      <c r="C186" s="161">
        <f t="shared" ref="C186:M186" si="202">B186</f>
        <v>6348.32</v>
      </c>
      <c r="D186" s="161">
        <f t="shared" si="202"/>
        <v>6348.32</v>
      </c>
      <c r="E186" s="161">
        <f t="shared" si="202"/>
        <v>6348.32</v>
      </c>
      <c r="F186" s="161">
        <f t="shared" si="202"/>
        <v>6348.32</v>
      </c>
      <c r="G186" s="161">
        <f t="shared" si="202"/>
        <v>6348.32</v>
      </c>
      <c r="H186" s="161">
        <f t="shared" si="202"/>
        <v>6348.32</v>
      </c>
      <c r="I186" s="161">
        <f t="shared" si="202"/>
        <v>6348.32</v>
      </c>
      <c r="J186" s="161">
        <f t="shared" si="202"/>
        <v>6348.32</v>
      </c>
      <c r="K186" s="161">
        <f t="shared" si="202"/>
        <v>6348.32</v>
      </c>
      <c r="L186" s="161">
        <f t="shared" si="202"/>
        <v>6348.32</v>
      </c>
      <c r="M186" s="161">
        <f t="shared" si="202"/>
        <v>6348.32</v>
      </c>
      <c r="N186" s="161">
        <f t="shared" si="192"/>
        <v>76179.839999999997</v>
      </c>
    </row>
    <row r="187" spans="1:14" x14ac:dyDescent="0.2">
      <c r="A187" s="50" t="str">
        <f t="shared" si="190"/>
        <v>Salsas y Járabes</v>
      </c>
      <c r="B187" s="161">
        <f t="shared" si="190"/>
        <v>6348.32</v>
      </c>
      <c r="C187" s="161">
        <f t="shared" ref="C187:M187" si="203">B187</f>
        <v>6348.32</v>
      </c>
      <c r="D187" s="161">
        <f t="shared" si="203"/>
        <v>6348.32</v>
      </c>
      <c r="E187" s="161">
        <f t="shared" si="203"/>
        <v>6348.32</v>
      </c>
      <c r="F187" s="161">
        <f t="shared" si="203"/>
        <v>6348.32</v>
      </c>
      <c r="G187" s="161">
        <f t="shared" si="203"/>
        <v>6348.32</v>
      </c>
      <c r="H187" s="161">
        <f t="shared" si="203"/>
        <v>6348.32</v>
      </c>
      <c r="I187" s="161">
        <f t="shared" si="203"/>
        <v>6348.32</v>
      </c>
      <c r="J187" s="161">
        <f t="shared" si="203"/>
        <v>6348.32</v>
      </c>
      <c r="K187" s="161">
        <f t="shared" si="203"/>
        <v>6348.32</v>
      </c>
      <c r="L187" s="161">
        <f t="shared" si="203"/>
        <v>6348.32</v>
      </c>
      <c r="M187" s="161">
        <f t="shared" si="203"/>
        <v>6348.32</v>
      </c>
      <c r="N187" s="161">
        <f t="shared" si="192"/>
        <v>76179.839999999997</v>
      </c>
    </row>
    <row r="188" spans="1:14" x14ac:dyDescent="0.2">
      <c r="A188" s="50" t="str">
        <f t="shared" si="190"/>
        <v>Coordinador de parrilla</v>
      </c>
      <c r="B188" s="161">
        <f t="shared" si="190"/>
        <v>11106.76</v>
      </c>
      <c r="C188" s="161">
        <f t="shared" ref="C188:M188" si="204">B188</f>
        <v>11106.76</v>
      </c>
      <c r="D188" s="161">
        <f t="shared" si="204"/>
        <v>11106.76</v>
      </c>
      <c r="E188" s="161">
        <f t="shared" si="204"/>
        <v>11106.76</v>
      </c>
      <c r="F188" s="161">
        <f t="shared" si="204"/>
        <v>11106.76</v>
      </c>
      <c r="G188" s="161">
        <f t="shared" si="204"/>
        <v>11106.76</v>
      </c>
      <c r="H188" s="161">
        <f t="shared" si="204"/>
        <v>11106.76</v>
      </c>
      <c r="I188" s="161">
        <f t="shared" si="204"/>
        <v>11106.76</v>
      </c>
      <c r="J188" s="161">
        <f t="shared" si="204"/>
        <v>11106.76</v>
      </c>
      <c r="K188" s="161">
        <f t="shared" si="204"/>
        <v>11106.76</v>
      </c>
      <c r="L188" s="161">
        <f t="shared" si="204"/>
        <v>11106.76</v>
      </c>
      <c r="M188" s="161">
        <f t="shared" si="204"/>
        <v>11106.76</v>
      </c>
      <c r="N188" s="161">
        <f t="shared" si="192"/>
        <v>133281.11999999997</v>
      </c>
    </row>
    <row r="189" spans="1:14" x14ac:dyDescent="0.2">
      <c r="A189" s="50" t="str">
        <f t="shared" si="190"/>
        <v>Parrillero plancha</v>
      </c>
      <c r="B189" s="161">
        <f t="shared" si="190"/>
        <v>8895</v>
      </c>
      <c r="C189" s="161">
        <f t="shared" ref="C189:M189" si="205">B189</f>
        <v>8895</v>
      </c>
      <c r="D189" s="161">
        <f t="shared" si="205"/>
        <v>8895</v>
      </c>
      <c r="E189" s="161">
        <f t="shared" si="205"/>
        <v>8895</v>
      </c>
      <c r="F189" s="161">
        <f t="shared" si="205"/>
        <v>8895</v>
      </c>
      <c r="G189" s="161">
        <f t="shared" si="205"/>
        <v>8895</v>
      </c>
      <c r="H189" s="161">
        <f t="shared" si="205"/>
        <v>8895</v>
      </c>
      <c r="I189" s="161">
        <f t="shared" si="205"/>
        <v>8895</v>
      </c>
      <c r="J189" s="161">
        <f t="shared" si="205"/>
        <v>8895</v>
      </c>
      <c r="K189" s="161">
        <f t="shared" si="205"/>
        <v>8895</v>
      </c>
      <c r="L189" s="161">
        <f t="shared" si="205"/>
        <v>8895</v>
      </c>
      <c r="M189" s="161">
        <f t="shared" si="205"/>
        <v>8895</v>
      </c>
      <c r="N189" s="161">
        <f t="shared" si="192"/>
        <v>106740</v>
      </c>
    </row>
    <row r="190" spans="1:14" x14ac:dyDescent="0.2">
      <c r="A190" s="50" t="str">
        <f t="shared" si="190"/>
        <v>Parrillero vapor</v>
      </c>
      <c r="B190" s="161">
        <f t="shared" si="190"/>
        <v>7862.36</v>
      </c>
      <c r="C190" s="161">
        <f t="shared" ref="C190:M190" si="206">B190</f>
        <v>7862.36</v>
      </c>
      <c r="D190" s="161">
        <f t="shared" si="206"/>
        <v>7862.36</v>
      </c>
      <c r="E190" s="161">
        <f t="shared" si="206"/>
        <v>7862.36</v>
      </c>
      <c r="F190" s="161">
        <f t="shared" si="206"/>
        <v>7862.36</v>
      </c>
      <c r="G190" s="161">
        <f t="shared" si="206"/>
        <v>7862.36</v>
      </c>
      <c r="H190" s="161">
        <f t="shared" si="206"/>
        <v>7862.36</v>
      </c>
      <c r="I190" s="161">
        <f t="shared" si="206"/>
        <v>7862.36</v>
      </c>
      <c r="J190" s="161">
        <f t="shared" si="206"/>
        <v>7862.36</v>
      </c>
      <c r="K190" s="161">
        <f t="shared" si="206"/>
        <v>7862.36</v>
      </c>
      <c r="L190" s="161">
        <f t="shared" si="206"/>
        <v>7862.36</v>
      </c>
      <c r="M190" s="161">
        <f t="shared" si="206"/>
        <v>7862.36</v>
      </c>
      <c r="N190" s="161">
        <f t="shared" si="192"/>
        <v>94348.319999999992</v>
      </c>
    </row>
    <row r="191" spans="1:14" x14ac:dyDescent="0.2">
      <c r="A191" s="50" t="str">
        <f t="shared" si="190"/>
        <v>Pastorero</v>
      </c>
      <c r="B191" s="161">
        <f t="shared" si="190"/>
        <v>8895</v>
      </c>
      <c r="C191" s="161">
        <f t="shared" ref="C191:M191" si="207">B191</f>
        <v>8895</v>
      </c>
      <c r="D191" s="161">
        <f t="shared" si="207"/>
        <v>8895</v>
      </c>
      <c r="E191" s="161">
        <f t="shared" si="207"/>
        <v>8895</v>
      </c>
      <c r="F191" s="161">
        <f t="shared" si="207"/>
        <v>8895</v>
      </c>
      <c r="G191" s="161">
        <f t="shared" si="207"/>
        <v>8895</v>
      </c>
      <c r="H191" s="161">
        <f t="shared" si="207"/>
        <v>8895</v>
      </c>
      <c r="I191" s="161">
        <f t="shared" si="207"/>
        <v>8895</v>
      </c>
      <c r="J191" s="161">
        <f t="shared" si="207"/>
        <v>8895</v>
      </c>
      <c r="K191" s="161">
        <f t="shared" si="207"/>
        <v>8895</v>
      </c>
      <c r="L191" s="161">
        <f t="shared" si="207"/>
        <v>8895</v>
      </c>
      <c r="M191" s="161">
        <f t="shared" si="207"/>
        <v>8895</v>
      </c>
      <c r="N191" s="161">
        <f t="shared" si="192"/>
        <v>106740</v>
      </c>
    </row>
    <row r="192" spans="1:14" x14ac:dyDescent="0.2">
      <c r="A192" s="50" t="str">
        <f t="shared" si="190"/>
        <v>Lavatrastes</v>
      </c>
      <c r="B192" s="161">
        <f t="shared" si="190"/>
        <v>6348.32</v>
      </c>
      <c r="C192" s="161">
        <f t="shared" ref="C192:M192" si="208">B192</f>
        <v>6348.32</v>
      </c>
      <c r="D192" s="161">
        <f t="shared" si="208"/>
        <v>6348.32</v>
      </c>
      <c r="E192" s="161">
        <f t="shared" si="208"/>
        <v>6348.32</v>
      </c>
      <c r="F192" s="161">
        <f t="shared" si="208"/>
        <v>6348.32</v>
      </c>
      <c r="G192" s="161">
        <f t="shared" si="208"/>
        <v>6348.32</v>
      </c>
      <c r="H192" s="161">
        <f t="shared" si="208"/>
        <v>6348.32</v>
      </c>
      <c r="I192" s="161">
        <f t="shared" si="208"/>
        <v>6348.32</v>
      </c>
      <c r="J192" s="161">
        <f t="shared" si="208"/>
        <v>6348.32</v>
      </c>
      <c r="K192" s="161">
        <f t="shared" si="208"/>
        <v>6348.32</v>
      </c>
      <c r="L192" s="161">
        <f t="shared" si="208"/>
        <v>6348.32</v>
      </c>
      <c r="M192" s="161">
        <f t="shared" si="208"/>
        <v>6348.32</v>
      </c>
      <c r="N192" s="161">
        <f t="shared" si="192"/>
        <v>76179.839999999997</v>
      </c>
    </row>
    <row r="193" spans="1:14" x14ac:dyDescent="0.2">
      <c r="A193" s="50" t="str">
        <f t="shared" si="190"/>
        <v>Gerente general</v>
      </c>
      <c r="B193" s="161">
        <f t="shared" si="190"/>
        <v>17263.96</v>
      </c>
      <c r="C193" s="161">
        <f t="shared" ref="C193:M193" si="209">B193</f>
        <v>17263.96</v>
      </c>
      <c r="D193" s="161">
        <f t="shared" si="209"/>
        <v>17263.96</v>
      </c>
      <c r="E193" s="161">
        <f t="shared" si="209"/>
        <v>17263.96</v>
      </c>
      <c r="F193" s="161">
        <f t="shared" si="209"/>
        <v>17263.96</v>
      </c>
      <c r="G193" s="161">
        <f t="shared" si="209"/>
        <v>17263.96</v>
      </c>
      <c r="H193" s="161">
        <f t="shared" si="209"/>
        <v>17263.96</v>
      </c>
      <c r="I193" s="161">
        <f t="shared" si="209"/>
        <v>17263.96</v>
      </c>
      <c r="J193" s="161">
        <f t="shared" si="209"/>
        <v>17263.96</v>
      </c>
      <c r="K193" s="161">
        <f t="shared" si="209"/>
        <v>17263.96</v>
      </c>
      <c r="L193" s="161">
        <f t="shared" si="209"/>
        <v>17263.96</v>
      </c>
      <c r="M193" s="161">
        <f t="shared" si="209"/>
        <v>17263.96</v>
      </c>
      <c r="N193" s="161">
        <f t="shared" si="192"/>
        <v>207167.51999999993</v>
      </c>
    </row>
    <row r="194" spans="1:14" x14ac:dyDescent="0.2">
      <c r="A194" s="50" t="str">
        <f t="shared" si="190"/>
        <v>Asesor</v>
      </c>
      <c r="B194" s="161">
        <f t="shared" si="190"/>
        <v>17204.32</v>
      </c>
      <c r="C194" s="161">
        <f t="shared" ref="C194:M194" si="210">B194</f>
        <v>17204.32</v>
      </c>
      <c r="D194" s="161">
        <f t="shared" si="210"/>
        <v>17204.32</v>
      </c>
      <c r="E194" s="161">
        <f t="shared" si="210"/>
        <v>17204.32</v>
      </c>
      <c r="F194" s="161">
        <f t="shared" si="210"/>
        <v>17204.32</v>
      </c>
      <c r="G194" s="161">
        <f t="shared" si="210"/>
        <v>17204.32</v>
      </c>
      <c r="H194" s="161">
        <f t="shared" si="210"/>
        <v>17204.32</v>
      </c>
      <c r="I194" s="161">
        <f t="shared" si="210"/>
        <v>17204.32</v>
      </c>
      <c r="J194" s="161">
        <f t="shared" si="210"/>
        <v>17204.32</v>
      </c>
      <c r="K194" s="161">
        <f t="shared" si="210"/>
        <v>17204.32</v>
      </c>
      <c r="L194" s="161">
        <f t="shared" si="210"/>
        <v>17204.32</v>
      </c>
      <c r="M194" s="161">
        <f t="shared" si="210"/>
        <v>17204.32</v>
      </c>
      <c r="N194" s="161">
        <f t="shared" si="192"/>
        <v>206451.84000000005</v>
      </c>
    </row>
    <row r="195" spans="1:14" x14ac:dyDescent="0.2">
      <c r="A195" s="50" t="str">
        <f t="shared" si="190"/>
        <v>Cajero</v>
      </c>
      <c r="B195" s="161">
        <f t="shared" si="190"/>
        <v>8377.56</v>
      </c>
      <c r="C195" s="161">
        <f t="shared" ref="C195:M195" si="211">B195</f>
        <v>8377.56</v>
      </c>
      <c r="D195" s="161">
        <f t="shared" si="211"/>
        <v>8377.56</v>
      </c>
      <c r="E195" s="161">
        <f t="shared" si="211"/>
        <v>8377.56</v>
      </c>
      <c r="F195" s="161">
        <f t="shared" si="211"/>
        <v>8377.56</v>
      </c>
      <c r="G195" s="161">
        <f t="shared" si="211"/>
        <v>8377.56</v>
      </c>
      <c r="H195" s="161">
        <f t="shared" si="211"/>
        <v>8377.56</v>
      </c>
      <c r="I195" s="161">
        <f t="shared" si="211"/>
        <v>8377.56</v>
      </c>
      <c r="J195" s="161">
        <f t="shared" si="211"/>
        <v>8377.56</v>
      </c>
      <c r="K195" s="161">
        <f t="shared" si="211"/>
        <v>8377.56</v>
      </c>
      <c r="L195" s="161">
        <f t="shared" si="211"/>
        <v>8377.56</v>
      </c>
      <c r="M195" s="161">
        <f t="shared" si="211"/>
        <v>8377.56</v>
      </c>
      <c r="N195" s="161">
        <f t="shared" si="192"/>
        <v>100530.71999999999</v>
      </c>
    </row>
    <row r="196" spans="1:14" x14ac:dyDescent="0.2">
      <c r="A196" s="50" t="str">
        <f t="shared" ref="A196:B211" si="212">A143</f>
        <v>Contador</v>
      </c>
      <c r="B196" s="161">
        <f t="shared" si="212"/>
        <v>14594.56</v>
      </c>
      <c r="C196" s="161">
        <f t="shared" ref="C196:M196" si="213">B196</f>
        <v>14594.56</v>
      </c>
      <c r="D196" s="161">
        <f t="shared" si="213"/>
        <v>14594.56</v>
      </c>
      <c r="E196" s="161">
        <f t="shared" si="213"/>
        <v>14594.56</v>
      </c>
      <c r="F196" s="161">
        <f t="shared" si="213"/>
        <v>14594.56</v>
      </c>
      <c r="G196" s="161">
        <f t="shared" si="213"/>
        <v>14594.56</v>
      </c>
      <c r="H196" s="161">
        <f t="shared" si="213"/>
        <v>14594.56</v>
      </c>
      <c r="I196" s="161">
        <f t="shared" si="213"/>
        <v>14594.56</v>
      </c>
      <c r="J196" s="161">
        <f t="shared" si="213"/>
        <v>14594.56</v>
      </c>
      <c r="K196" s="161">
        <f t="shared" si="213"/>
        <v>14594.56</v>
      </c>
      <c r="L196" s="161">
        <f t="shared" si="213"/>
        <v>14594.56</v>
      </c>
      <c r="M196" s="161">
        <f t="shared" si="213"/>
        <v>14594.56</v>
      </c>
      <c r="N196" s="161">
        <f t="shared" si="192"/>
        <v>175134.72</v>
      </c>
    </row>
    <row r="197" spans="1:14" x14ac:dyDescent="0.2">
      <c r="A197" s="50" t="str">
        <f t="shared" si="212"/>
        <v>Compras</v>
      </c>
      <c r="B197" s="161">
        <f t="shared" si="212"/>
        <v>15899.44</v>
      </c>
      <c r="C197" s="161">
        <f t="shared" ref="C197:M197" si="214">B197</f>
        <v>15899.44</v>
      </c>
      <c r="D197" s="161">
        <f t="shared" si="214"/>
        <v>15899.44</v>
      </c>
      <c r="E197" s="161">
        <f t="shared" si="214"/>
        <v>15899.44</v>
      </c>
      <c r="F197" s="161">
        <f t="shared" si="214"/>
        <v>15899.44</v>
      </c>
      <c r="G197" s="161">
        <f t="shared" si="214"/>
        <v>15899.44</v>
      </c>
      <c r="H197" s="161">
        <f t="shared" si="214"/>
        <v>15899.44</v>
      </c>
      <c r="I197" s="161">
        <f t="shared" si="214"/>
        <v>15899.44</v>
      </c>
      <c r="J197" s="161">
        <f t="shared" si="214"/>
        <v>15899.44</v>
      </c>
      <c r="K197" s="161">
        <f t="shared" si="214"/>
        <v>15899.44</v>
      </c>
      <c r="L197" s="161">
        <f t="shared" si="214"/>
        <v>15899.44</v>
      </c>
      <c r="M197" s="161">
        <f t="shared" si="214"/>
        <v>15899.44</v>
      </c>
      <c r="N197" s="161">
        <f t="shared" si="192"/>
        <v>190793.28</v>
      </c>
    </row>
    <row r="198" spans="1:14" x14ac:dyDescent="0.2">
      <c r="A198" s="50" t="str">
        <f t="shared" si="212"/>
        <v>Supervisor de envios y calidad</v>
      </c>
      <c r="B198" s="161">
        <f t="shared" si="212"/>
        <v>11984.84</v>
      </c>
      <c r="C198" s="161">
        <f t="shared" ref="C198:M198" si="215">B198</f>
        <v>11984.84</v>
      </c>
      <c r="D198" s="161">
        <f t="shared" si="215"/>
        <v>11984.84</v>
      </c>
      <c r="E198" s="161">
        <f t="shared" si="215"/>
        <v>11984.84</v>
      </c>
      <c r="F198" s="161">
        <f t="shared" si="215"/>
        <v>11984.84</v>
      </c>
      <c r="G198" s="161">
        <f t="shared" si="215"/>
        <v>11984.84</v>
      </c>
      <c r="H198" s="161">
        <f t="shared" si="215"/>
        <v>11984.84</v>
      </c>
      <c r="I198" s="161">
        <f t="shared" si="215"/>
        <v>11984.84</v>
      </c>
      <c r="J198" s="161">
        <f t="shared" si="215"/>
        <v>11984.84</v>
      </c>
      <c r="K198" s="161">
        <f t="shared" si="215"/>
        <v>11984.84</v>
      </c>
      <c r="L198" s="161">
        <f t="shared" si="215"/>
        <v>11984.84</v>
      </c>
      <c r="M198" s="161">
        <f t="shared" si="215"/>
        <v>11984.84</v>
      </c>
      <c r="N198" s="161">
        <f t="shared" si="192"/>
        <v>143818.07999999999</v>
      </c>
    </row>
    <row r="199" spans="1:14" x14ac:dyDescent="0.2">
      <c r="A199" s="50" t="str">
        <f t="shared" si="212"/>
        <v>Seguro social (IMSS)</v>
      </c>
      <c r="B199" s="161">
        <f t="shared" si="212"/>
        <v>3076</v>
      </c>
      <c r="C199" s="161">
        <f t="shared" ref="C199:M199" si="216">B199</f>
        <v>3076</v>
      </c>
      <c r="D199" s="161">
        <f t="shared" si="216"/>
        <v>3076</v>
      </c>
      <c r="E199" s="161">
        <f t="shared" si="216"/>
        <v>3076</v>
      </c>
      <c r="F199" s="161">
        <f t="shared" si="216"/>
        <v>3076</v>
      </c>
      <c r="G199" s="161">
        <f t="shared" si="216"/>
        <v>3076</v>
      </c>
      <c r="H199" s="161">
        <f t="shared" si="216"/>
        <v>3076</v>
      </c>
      <c r="I199" s="161">
        <f t="shared" si="216"/>
        <v>3076</v>
      </c>
      <c r="J199" s="161">
        <f t="shared" si="216"/>
        <v>3076</v>
      </c>
      <c r="K199" s="161">
        <f t="shared" si="216"/>
        <v>3076</v>
      </c>
      <c r="L199" s="161">
        <f t="shared" si="216"/>
        <v>3076</v>
      </c>
      <c r="M199" s="161">
        <f t="shared" si="216"/>
        <v>3076</v>
      </c>
      <c r="N199" s="161">
        <f t="shared" si="192"/>
        <v>36912</v>
      </c>
    </row>
    <row r="200" spans="1:14" x14ac:dyDescent="0.2">
      <c r="A200" s="50" t="str">
        <f t="shared" si="212"/>
        <v>INFONAVIT</v>
      </c>
      <c r="B200" s="161">
        <f t="shared" si="212"/>
        <v>20318.376096</v>
      </c>
      <c r="C200" s="161">
        <f t="shared" ref="C200:M200" si="217">B200</f>
        <v>20318.376096</v>
      </c>
      <c r="D200" s="161">
        <f t="shared" si="217"/>
        <v>20318.376096</v>
      </c>
      <c r="E200" s="161">
        <f t="shared" si="217"/>
        <v>20318.376096</v>
      </c>
      <c r="F200" s="161">
        <f t="shared" si="217"/>
        <v>20318.376096</v>
      </c>
      <c r="G200" s="161">
        <f t="shared" si="217"/>
        <v>20318.376096</v>
      </c>
      <c r="H200" s="161">
        <f t="shared" si="217"/>
        <v>20318.376096</v>
      </c>
      <c r="I200" s="161">
        <f t="shared" si="217"/>
        <v>20318.376096</v>
      </c>
      <c r="J200" s="161">
        <f t="shared" si="217"/>
        <v>20318.376096</v>
      </c>
      <c r="K200" s="161">
        <f t="shared" si="217"/>
        <v>20318.376096</v>
      </c>
      <c r="L200" s="161">
        <f t="shared" si="217"/>
        <v>20318.376096</v>
      </c>
      <c r="M200" s="161">
        <f t="shared" si="217"/>
        <v>20318.376096</v>
      </c>
      <c r="N200" s="161">
        <f t="shared" si="192"/>
        <v>243820.51315199994</v>
      </c>
    </row>
    <row r="201" spans="1:14" x14ac:dyDescent="0.2">
      <c r="A201" s="50" t="str">
        <f t="shared" si="212"/>
        <v>Seguro de retiro y cesantía</v>
      </c>
      <c r="B201" s="161">
        <f t="shared" si="212"/>
        <v>17372.16</v>
      </c>
      <c r="C201" s="161">
        <f t="shared" ref="C201:M201" si="218">B201</f>
        <v>17372.16</v>
      </c>
      <c r="D201" s="161">
        <f t="shared" si="218"/>
        <v>17372.16</v>
      </c>
      <c r="E201" s="161">
        <f t="shared" si="218"/>
        <v>17372.16</v>
      </c>
      <c r="F201" s="161">
        <f t="shared" si="218"/>
        <v>17372.16</v>
      </c>
      <c r="G201" s="161">
        <f t="shared" si="218"/>
        <v>17372.16</v>
      </c>
      <c r="H201" s="161">
        <f t="shared" si="218"/>
        <v>17372.16</v>
      </c>
      <c r="I201" s="161">
        <f t="shared" si="218"/>
        <v>17372.16</v>
      </c>
      <c r="J201" s="161">
        <f t="shared" si="218"/>
        <v>17372.16</v>
      </c>
      <c r="K201" s="161">
        <f t="shared" si="218"/>
        <v>17372.16</v>
      </c>
      <c r="L201" s="161">
        <f t="shared" si="218"/>
        <v>17372.16</v>
      </c>
      <c r="M201" s="161">
        <f t="shared" si="218"/>
        <v>17372.16</v>
      </c>
      <c r="N201" s="161">
        <f t="shared" si="192"/>
        <v>208465.92000000001</v>
      </c>
    </row>
    <row r="202" spans="1:14" x14ac:dyDescent="0.2">
      <c r="A202" s="50" t="str">
        <f t="shared" si="212"/>
        <v>ISR</v>
      </c>
      <c r="B202" s="161">
        <f t="shared" si="212"/>
        <v>5131.68</v>
      </c>
      <c r="C202" s="161">
        <f t="shared" ref="C202:M202" si="219">B202</f>
        <v>5131.68</v>
      </c>
      <c r="D202" s="161">
        <f t="shared" si="219"/>
        <v>5131.68</v>
      </c>
      <c r="E202" s="161">
        <f t="shared" si="219"/>
        <v>5131.68</v>
      </c>
      <c r="F202" s="161">
        <f t="shared" si="219"/>
        <v>5131.68</v>
      </c>
      <c r="G202" s="161">
        <f t="shared" si="219"/>
        <v>5131.68</v>
      </c>
      <c r="H202" s="161">
        <f t="shared" si="219"/>
        <v>5131.68</v>
      </c>
      <c r="I202" s="161">
        <f t="shared" si="219"/>
        <v>5131.68</v>
      </c>
      <c r="J202" s="161">
        <f t="shared" si="219"/>
        <v>5131.68</v>
      </c>
      <c r="K202" s="161">
        <f t="shared" si="219"/>
        <v>5131.68</v>
      </c>
      <c r="L202" s="161">
        <f t="shared" si="219"/>
        <v>5131.68</v>
      </c>
      <c r="M202" s="161">
        <f t="shared" si="219"/>
        <v>5131.68</v>
      </c>
      <c r="N202" s="161">
        <f t="shared" si="192"/>
        <v>61580.160000000003</v>
      </c>
    </row>
    <row r="203" spans="1:14" x14ac:dyDescent="0.2">
      <c r="A203" s="50" t="str">
        <f t="shared" si="212"/>
        <v>Uniformes y protección</v>
      </c>
      <c r="B203" s="161">
        <f t="shared" si="212"/>
        <v>6400</v>
      </c>
      <c r="C203" s="161">
        <f t="shared" ref="C203:M203" si="220">B203</f>
        <v>6400</v>
      </c>
      <c r="D203" s="161">
        <f t="shared" si="220"/>
        <v>6400</v>
      </c>
      <c r="E203" s="161">
        <f t="shared" si="220"/>
        <v>6400</v>
      </c>
      <c r="F203" s="161">
        <f t="shared" si="220"/>
        <v>6400</v>
      </c>
      <c r="G203" s="161">
        <f t="shared" si="220"/>
        <v>6400</v>
      </c>
      <c r="H203" s="161">
        <f t="shared" si="220"/>
        <v>6400</v>
      </c>
      <c r="I203" s="161">
        <f t="shared" si="220"/>
        <v>6400</v>
      </c>
      <c r="J203" s="161">
        <f t="shared" si="220"/>
        <v>6400</v>
      </c>
      <c r="K203" s="161">
        <f t="shared" si="220"/>
        <v>6400</v>
      </c>
      <c r="L203" s="161">
        <f t="shared" si="220"/>
        <v>6400</v>
      </c>
      <c r="M203" s="161">
        <f t="shared" si="220"/>
        <v>6400</v>
      </c>
      <c r="N203" s="161">
        <f t="shared" si="192"/>
        <v>76800</v>
      </c>
    </row>
    <row r="204" spans="1:14" x14ac:dyDescent="0.2">
      <c r="A204" s="50">
        <f t="shared" si="212"/>
        <v>0</v>
      </c>
      <c r="B204" s="161">
        <f t="shared" si="212"/>
        <v>0</v>
      </c>
      <c r="C204" s="161">
        <f t="shared" ref="C204:M204" si="221">B204</f>
        <v>0</v>
      </c>
      <c r="D204" s="161">
        <f t="shared" si="221"/>
        <v>0</v>
      </c>
      <c r="E204" s="161">
        <f t="shared" si="221"/>
        <v>0</v>
      </c>
      <c r="F204" s="161">
        <f t="shared" si="221"/>
        <v>0</v>
      </c>
      <c r="G204" s="161">
        <f t="shared" si="221"/>
        <v>0</v>
      </c>
      <c r="H204" s="161">
        <f t="shared" si="221"/>
        <v>0</v>
      </c>
      <c r="I204" s="161">
        <f t="shared" si="221"/>
        <v>0</v>
      </c>
      <c r="J204" s="161">
        <f t="shared" si="221"/>
        <v>0</v>
      </c>
      <c r="K204" s="161">
        <f t="shared" si="221"/>
        <v>0</v>
      </c>
      <c r="L204" s="161">
        <f t="shared" si="221"/>
        <v>0</v>
      </c>
      <c r="M204" s="161">
        <f t="shared" si="221"/>
        <v>0</v>
      </c>
      <c r="N204" s="161">
        <f t="shared" si="192"/>
        <v>0</v>
      </c>
    </row>
    <row r="205" spans="1:14" x14ac:dyDescent="0.2">
      <c r="A205" s="50">
        <f t="shared" si="212"/>
        <v>0</v>
      </c>
      <c r="B205" s="161">
        <f t="shared" si="212"/>
        <v>0</v>
      </c>
      <c r="C205" s="161">
        <f t="shared" ref="C205:M205" si="222">B205</f>
        <v>0</v>
      </c>
      <c r="D205" s="161">
        <f t="shared" si="222"/>
        <v>0</v>
      </c>
      <c r="E205" s="161">
        <f t="shared" si="222"/>
        <v>0</v>
      </c>
      <c r="F205" s="161">
        <f t="shared" si="222"/>
        <v>0</v>
      </c>
      <c r="G205" s="161">
        <f t="shared" si="222"/>
        <v>0</v>
      </c>
      <c r="H205" s="161">
        <f t="shared" si="222"/>
        <v>0</v>
      </c>
      <c r="I205" s="161">
        <f t="shared" si="222"/>
        <v>0</v>
      </c>
      <c r="J205" s="161">
        <f t="shared" si="222"/>
        <v>0</v>
      </c>
      <c r="K205" s="161">
        <f t="shared" si="222"/>
        <v>0</v>
      </c>
      <c r="L205" s="161">
        <f t="shared" si="222"/>
        <v>0</v>
      </c>
      <c r="M205" s="161">
        <f t="shared" si="222"/>
        <v>0</v>
      </c>
      <c r="N205" s="161">
        <f t="shared" si="192"/>
        <v>0</v>
      </c>
    </row>
    <row r="206" spans="1:14" x14ac:dyDescent="0.2">
      <c r="A206" s="50">
        <f t="shared" si="212"/>
        <v>0</v>
      </c>
      <c r="B206" s="161">
        <f t="shared" si="212"/>
        <v>0</v>
      </c>
      <c r="C206" s="161">
        <f t="shared" ref="C206:M206" si="223">B206</f>
        <v>0</v>
      </c>
      <c r="D206" s="161">
        <f t="shared" si="223"/>
        <v>0</v>
      </c>
      <c r="E206" s="161">
        <f t="shared" si="223"/>
        <v>0</v>
      </c>
      <c r="F206" s="161">
        <f t="shared" si="223"/>
        <v>0</v>
      </c>
      <c r="G206" s="161">
        <f t="shared" si="223"/>
        <v>0</v>
      </c>
      <c r="H206" s="161">
        <f t="shared" si="223"/>
        <v>0</v>
      </c>
      <c r="I206" s="161">
        <f t="shared" si="223"/>
        <v>0</v>
      </c>
      <c r="J206" s="161">
        <f t="shared" si="223"/>
        <v>0</v>
      </c>
      <c r="K206" s="161">
        <f t="shared" si="223"/>
        <v>0</v>
      </c>
      <c r="L206" s="161">
        <f t="shared" si="223"/>
        <v>0</v>
      </c>
      <c r="M206" s="161">
        <f t="shared" si="223"/>
        <v>0</v>
      </c>
      <c r="N206" s="161">
        <f t="shared" si="192"/>
        <v>0</v>
      </c>
    </row>
    <row r="207" spans="1:14" x14ac:dyDescent="0.2">
      <c r="A207" s="50" t="str">
        <f t="shared" si="212"/>
        <v>Mantenimiento de equipo</v>
      </c>
      <c r="B207" s="161">
        <f t="shared" si="212"/>
        <v>300</v>
      </c>
      <c r="C207" s="161">
        <f t="shared" ref="C207:M207" si="224">B207</f>
        <v>300</v>
      </c>
      <c r="D207" s="161">
        <f t="shared" si="224"/>
        <v>300</v>
      </c>
      <c r="E207" s="161">
        <f t="shared" si="224"/>
        <v>300</v>
      </c>
      <c r="F207" s="161">
        <f t="shared" si="224"/>
        <v>300</v>
      </c>
      <c r="G207" s="161">
        <f t="shared" si="224"/>
        <v>300</v>
      </c>
      <c r="H207" s="161">
        <f t="shared" si="224"/>
        <v>300</v>
      </c>
      <c r="I207" s="161">
        <f t="shared" si="224"/>
        <v>300</v>
      </c>
      <c r="J207" s="161">
        <f t="shared" si="224"/>
        <v>300</v>
      </c>
      <c r="K207" s="161">
        <f t="shared" si="224"/>
        <v>300</v>
      </c>
      <c r="L207" s="161">
        <f t="shared" si="224"/>
        <v>300</v>
      </c>
      <c r="M207" s="161">
        <f t="shared" si="224"/>
        <v>300</v>
      </c>
      <c r="N207" s="161">
        <f t="shared" si="192"/>
        <v>3600</v>
      </c>
    </row>
    <row r="208" spans="1:14" x14ac:dyDescent="0.2">
      <c r="A208" s="50" t="str">
        <f t="shared" si="212"/>
        <v>Sustitución de mobiliario</v>
      </c>
      <c r="B208" s="161">
        <f t="shared" si="212"/>
        <v>200</v>
      </c>
      <c r="C208" s="161">
        <f t="shared" ref="C208:M208" si="225">B208</f>
        <v>200</v>
      </c>
      <c r="D208" s="161">
        <f t="shared" si="225"/>
        <v>200</v>
      </c>
      <c r="E208" s="161">
        <f t="shared" si="225"/>
        <v>200</v>
      </c>
      <c r="F208" s="161">
        <f t="shared" si="225"/>
        <v>200</v>
      </c>
      <c r="G208" s="161">
        <f t="shared" si="225"/>
        <v>200</v>
      </c>
      <c r="H208" s="161">
        <f t="shared" si="225"/>
        <v>200</v>
      </c>
      <c r="I208" s="161">
        <f t="shared" si="225"/>
        <v>200</v>
      </c>
      <c r="J208" s="161">
        <f t="shared" si="225"/>
        <v>200</v>
      </c>
      <c r="K208" s="161">
        <f t="shared" si="225"/>
        <v>200</v>
      </c>
      <c r="L208" s="161">
        <f t="shared" si="225"/>
        <v>200</v>
      </c>
      <c r="M208" s="161">
        <f t="shared" si="225"/>
        <v>200</v>
      </c>
      <c r="N208" s="161">
        <f t="shared" si="192"/>
        <v>2400</v>
      </c>
    </row>
    <row r="209" spans="1:14" x14ac:dyDescent="0.2">
      <c r="A209" s="50" t="str">
        <f t="shared" si="212"/>
        <v>Herramientas menores</v>
      </c>
      <c r="B209" s="161">
        <f t="shared" si="212"/>
        <v>250</v>
      </c>
      <c r="C209" s="161">
        <f t="shared" ref="C209:M209" si="226">B209</f>
        <v>250</v>
      </c>
      <c r="D209" s="161">
        <f t="shared" si="226"/>
        <v>250</v>
      </c>
      <c r="E209" s="161">
        <f t="shared" si="226"/>
        <v>250</v>
      </c>
      <c r="F209" s="161">
        <f t="shared" si="226"/>
        <v>250</v>
      </c>
      <c r="G209" s="161">
        <f t="shared" si="226"/>
        <v>250</v>
      </c>
      <c r="H209" s="161">
        <f t="shared" si="226"/>
        <v>250</v>
      </c>
      <c r="I209" s="161">
        <f t="shared" si="226"/>
        <v>250</v>
      </c>
      <c r="J209" s="161">
        <f t="shared" si="226"/>
        <v>250</v>
      </c>
      <c r="K209" s="161">
        <f t="shared" si="226"/>
        <v>250</v>
      </c>
      <c r="L209" s="161">
        <f t="shared" si="226"/>
        <v>250</v>
      </c>
      <c r="M209" s="161">
        <f t="shared" si="226"/>
        <v>250</v>
      </c>
      <c r="N209" s="161">
        <f t="shared" si="192"/>
        <v>3000</v>
      </c>
    </row>
    <row r="210" spans="1:14" x14ac:dyDescent="0.2">
      <c r="A210" s="50" t="str">
        <f t="shared" si="212"/>
        <v>Pintura / remodelaciones</v>
      </c>
      <c r="B210" s="161">
        <f t="shared" si="212"/>
        <v>150</v>
      </c>
      <c r="C210" s="161">
        <f t="shared" ref="C210:M210" si="227">B210</f>
        <v>150</v>
      </c>
      <c r="D210" s="161">
        <f t="shared" si="227"/>
        <v>150</v>
      </c>
      <c r="E210" s="161">
        <f t="shared" si="227"/>
        <v>150</v>
      </c>
      <c r="F210" s="161">
        <f t="shared" si="227"/>
        <v>150</v>
      </c>
      <c r="G210" s="161">
        <f t="shared" si="227"/>
        <v>150</v>
      </c>
      <c r="H210" s="161">
        <f t="shared" si="227"/>
        <v>150</v>
      </c>
      <c r="I210" s="161">
        <f t="shared" si="227"/>
        <v>150</v>
      </c>
      <c r="J210" s="161">
        <f t="shared" si="227"/>
        <v>150</v>
      </c>
      <c r="K210" s="161">
        <f t="shared" si="227"/>
        <v>150</v>
      </c>
      <c r="L210" s="161">
        <f t="shared" si="227"/>
        <v>150</v>
      </c>
      <c r="M210" s="161">
        <f t="shared" si="227"/>
        <v>150</v>
      </c>
      <c r="N210" s="161">
        <f t="shared" si="192"/>
        <v>1800</v>
      </c>
    </row>
    <row r="211" spans="1:14" x14ac:dyDescent="0.2">
      <c r="A211" s="50" t="str">
        <f t="shared" si="212"/>
        <v>Repuestos / accesorios</v>
      </c>
      <c r="B211" s="161">
        <f t="shared" si="212"/>
        <v>100</v>
      </c>
      <c r="C211" s="161">
        <f t="shared" ref="C211:M211" si="228">B211</f>
        <v>100</v>
      </c>
      <c r="D211" s="161">
        <f t="shared" si="228"/>
        <v>100</v>
      </c>
      <c r="E211" s="161">
        <f t="shared" si="228"/>
        <v>100</v>
      </c>
      <c r="F211" s="161">
        <f t="shared" si="228"/>
        <v>100</v>
      </c>
      <c r="G211" s="161">
        <f t="shared" si="228"/>
        <v>100</v>
      </c>
      <c r="H211" s="161">
        <f t="shared" si="228"/>
        <v>100</v>
      </c>
      <c r="I211" s="161">
        <f t="shared" si="228"/>
        <v>100</v>
      </c>
      <c r="J211" s="161">
        <f t="shared" si="228"/>
        <v>100</v>
      </c>
      <c r="K211" s="161">
        <f t="shared" si="228"/>
        <v>100</v>
      </c>
      <c r="L211" s="161">
        <f t="shared" si="228"/>
        <v>100</v>
      </c>
      <c r="M211" s="161">
        <f t="shared" si="228"/>
        <v>100</v>
      </c>
      <c r="N211" s="161">
        <f t="shared" si="192"/>
        <v>1200</v>
      </c>
    </row>
    <row r="212" spans="1:14" x14ac:dyDescent="0.2">
      <c r="A212" s="64" t="s">
        <v>107</v>
      </c>
      <c r="B212" s="65">
        <f t="shared" ref="B212:N212" si="229">+B175+B163</f>
        <v>424099.39352406235</v>
      </c>
      <c r="C212" s="65">
        <f t="shared" si="229"/>
        <v>428432.93227262358</v>
      </c>
      <c r="D212" s="65">
        <f t="shared" si="229"/>
        <v>424012.7227490911</v>
      </c>
      <c r="E212" s="65">
        <f t="shared" si="229"/>
        <v>430510.43074868387</v>
      </c>
      <c r="F212" s="65">
        <f t="shared" si="229"/>
        <v>434972.19024173752</v>
      </c>
      <c r="G212" s="65">
        <f t="shared" si="229"/>
        <v>428145.69821736537</v>
      </c>
      <c r="H212" s="65">
        <f t="shared" si="229"/>
        <v>425938.46579615166</v>
      </c>
      <c r="I212" s="65">
        <f t="shared" si="229"/>
        <v>430308.78599015472</v>
      </c>
      <c r="J212" s="65">
        <f t="shared" si="229"/>
        <v>425851.05939227162</v>
      </c>
      <c r="K212" s="65">
        <f t="shared" si="229"/>
        <v>423666.77335930895</v>
      </c>
      <c r="L212" s="65">
        <f t="shared" si="229"/>
        <v>427991.65970457508</v>
      </c>
      <c r="M212" s="65">
        <f t="shared" si="229"/>
        <v>432403.04377674666</v>
      </c>
      <c r="N212" s="65">
        <f t="shared" si="229"/>
        <v>5136333.1557727735</v>
      </c>
    </row>
    <row r="214" spans="1:14" ht="15.75" x14ac:dyDescent="0.25">
      <c r="A214" s="665" t="s">
        <v>251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</row>
    <row r="215" spans="1:14" ht="15.75" x14ac:dyDescent="0.25">
      <c r="A215" s="61" t="s">
        <v>104</v>
      </c>
      <c r="B215" s="5">
        <v>1</v>
      </c>
      <c r="C215" s="5">
        <v>2</v>
      </c>
      <c r="D215" s="5">
        <v>3</v>
      </c>
      <c r="E215" s="5">
        <v>4</v>
      </c>
      <c r="F215" s="5">
        <v>5</v>
      </c>
      <c r="G215" s="5">
        <v>6</v>
      </c>
      <c r="H215" s="5">
        <v>7</v>
      </c>
      <c r="I215" s="5">
        <v>8</v>
      </c>
      <c r="J215" s="5">
        <v>9</v>
      </c>
      <c r="K215" s="5">
        <v>10</v>
      </c>
      <c r="L215" s="5">
        <v>11</v>
      </c>
      <c r="M215" s="5">
        <v>12</v>
      </c>
      <c r="N215" s="5" t="s">
        <v>26</v>
      </c>
    </row>
    <row r="216" spans="1:14" ht="15.75" x14ac:dyDescent="0.25">
      <c r="A216" s="62" t="s">
        <v>105</v>
      </c>
      <c r="B216" s="66">
        <f t="shared" ref="B216:N216" si="230">SUM(B217:B227)</f>
        <v>224980.58768074668</v>
      </c>
      <c r="C216" s="66">
        <f t="shared" si="230"/>
        <v>229480.1994343616</v>
      </c>
      <c r="D216" s="66">
        <f t="shared" si="230"/>
        <v>224890.59544567435</v>
      </c>
      <c r="E216" s="66">
        <f t="shared" si="230"/>
        <v>231637.31330904455</v>
      </c>
      <c r="F216" s="66">
        <f t="shared" si="230"/>
        <v>236270.05957522549</v>
      </c>
      <c r="G216" s="66">
        <f t="shared" si="230"/>
        <v>229181.95778796874</v>
      </c>
      <c r="H216" s="66">
        <f t="shared" si="230"/>
        <v>226890.138210089</v>
      </c>
      <c r="I216" s="66">
        <f t="shared" si="230"/>
        <v>231427.94097429077</v>
      </c>
      <c r="J216" s="66">
        <f t="shared" si="230"/>
        <v>226799.38215480495</v>
      </c>
      <c r="K216" s="66">
        <f t="shared" si="230"/>
        <v>224531.38833325688</v>
      </c>
      <c r="L216" s="66">
        <f t="shared" si="230"/>
        <v>229022.0160999221</v>
      </c>
      <c r="M216" s="66">
        <f t="shared" si="230"/>
        <v>233602.45642192053</v>
      </c>
      <c r="N216" s="66">
        <f t="shared" si="230"/>
        <v>2748714.0354273049</v>
      </c>
    </row>
    <row r="217" spans="1:14" x14ac:dyDescent="0.2">
      <c r="A217" s="19" t="str">
        <f t="shared" ref="A217:A227" si="231">A164</f>
        <v xml:space="preserve">Carne de cerdo adobada al pastor </v>
      </c>
      <c r="B217" s="154">
        <f t="shared" ref="B217:B227" si="232">M164</f>
        <v>132505.61580701137</v>
      </c>
      <c r="C217" s="118">
        <f t="shared" ref="C217:C227" si="233">B217*1.02</f>
        <v>135155.72812315161</v>
      </c>
      <c r="D217" s="118">
        <f t="shared" ref="D217:D227" si="234">C217*0.98</f>
        <v>132452.61356068857</v>
      </c>
      <c r="E217" s="118">
        <f t="shared" ref="E217:E227" si="235">D217*1.03</f>
        <v>136426.19196750922</v>
      </c>
      <c r="F217" s="118">
        <f t="shared" ref="F217:F227" si="236">E217*1.02</f>
        <v>139154.7158068594</v>
      </c>
      <c r="G217" s="118">
        <f t="shared" ref="G217:G227" si="237">F217*0.97</f>
        <v>134980.0743326536</v>
      </c>
      <c r="H217" s="118">
        <f t="shared" ref="H217:H227" si="238">G217*0.99</f>
        <v>133630.27358932706</v>
      </c>
      <c r="I217" s="118">
        <f t="shared" ref="I217:I227" si="239">H217*1.02</f>
        <v>136302.87906111361</v>
      </c>
      <c r="J217" s="118">
        <f t="shared" ref="J217:J227" si="240">I217*0.98</f>
        <v>133576.82147989134</v>
      </c>
      <c r="K217" s="118">
        <f t="shared" ref="K217:K227" si="241">J217*0.99</f>
        <v>132241.05326509243</v>
      </c>
      <c r="L217" s="118">
        <f t="shared" ref="L217:L227" si="242">K217*1.02</f>
        <v>134885.87433039429</v>
      </c>
      <c r="M217" s="118">
        <f t="shared" ref="M217:M227" si="243">1.02*L217</f>
        <v>137583.59181700219</v>
      </c>
      <c r="N217" s="156">
        <f t="shared" ref="N217:N227" si="244">SUM(B217:M217)</f>
        <v>1618895.4331406946</v>
      </c>
    </row>
    <row r="218" spans="1:14" x14ac:dyDescent="0.2">
      <c r="A218" s="19" t="str">
        <f t="shared" si="231"/>
        <v>Tortilla de maíz</v>
      </c>
      <c r="B218" s="154">
        <f t="shared" si="232"/>
        <v>5300.2246322804567</v>
      </c>
      <c r="C218" s="118">
        <f t="shared" si="233"/>
        <v>5406.2291249260661</v>
      </c>
      <c r="D218" s="118">
        <f t="shared" si="234"/>
        <v>5298.1045424275444</v>
      </c>
      <c r="E218" s="118">
        <f t="shared" si="235"/>
        <v>5457.0476787003709</v>
      </c>
      <c r="F218" s="118">
        <f t="shared" si="236"/>
        <v>5566.1886322743785</v>
      </c>
      <c r="G218" s="118">
        <f t="shared" si="237"/>
        <v>5399.2029733061472</v>
      </c>
      <c r="H218" s="118">
        <f t="shared" si="238"/>
        <v>5345.2109435730854</v>
      </c>
      <c r="I218" s="118">
        <f t="shared" si="239"/>
        <v>5452.1151624445474</v>
      </c>
      <c r="J218" s="118">
        <f t="shared" si="240"/>
        <v>5343.0728591956567</v>
      </c>
      <c r="K218" s="118">
        <f t="shared" si="241"/>
        <v>5289.6421306037</v>
      </c>
      <c r="L218" s="118">
        <f t="shared" si="242"/>
        <v>5395.4349732157743</v>
      </c>
      <c r="M218" s="118">
        <f t="shared" si="243"/>
        <v>5503.3436726800901</v>
      </c>
      <c r="N218" s="156">
        <f t="shared" si="244"/>
        <v>64755.817325627824</v>
      </c>
    </row>
    <row r="219" spans="1:14" x14ac:dyDescent="0.2">
      <c r="A219" s="19" t="str">
        <f t="shared" si="231"/>
        <v>Piña</v>
      </c>
      <c r="B219" s="154">
        <f t="shared" si="232"/>
        <v>2789.5919117265557</v>
      </c>
      <c r="C219" s="118">
        <f t="shared" si="233"/>
        <v>2845.3837499610868</v>
      </c>
      <c r="D219" s="118">
        <f t="shared" si="234"/>
        <v>2788.4760749618649</v>
      </c>
      <c r="E219" s="118">
        <f t="shared" si="235"/>
        <v>2872.1303572107208</v>
      </c>
      <c r="F219" s="118">
        <f t="shared" si="236"/>
        <v>2929.5729643549353</v>
      </c>
      <c r="G219" s="118">
        <f t="shared" si="237"/>
        <v>2841.6857754242869</v>
      </c>
      <c r="H219" s="118">
        <f t="shared" si="238"/>
        <v>2813.2689176700442</v>
      </c>
      <c r="I219" s="118">
        <f t="shared" si="239"/>
        <v>2869.5342960234452</v>
      </c>
      <c r="J219" s="118">
        <f t="shared" si="240"/>
        <v>2812.1436101029763</v>
      </c>
      <c r="K219" s="118">
        <f t="shared" si="241"/>
        <v>2784.0221740019465</v>
      </c>
      <c r="L219" s="118">
        <f t="shared" si="242"/>
        <v>2839.7026174819853</v>
      </c>
      <c r="M219" s="118">
        <f t="shared" si="243"/>
        <v>2896.4966698316252</v>
      </c>
      <c r="N219" s="156">
        <f t="shared" si="244"/>
        <v>34082.00911875147</v>
      </c>
    </row>
    <row r="220" spans="1:14" x14ac:dyDescent="0.2">
      <c r="A220" s="19" t="str">
        <f t="shared" si="231"/>
        <v>Cebolla</v>
      </c>
      <c r="B220" s="154">
        <f t="shared" si="232"/>
        <v>1394.7959558632779</v>
      </c>
      <c r="C220" s="118">
        <f t="shared" si="233"/>
        <v>1422.6918749805434</v>
      </c>
      <c r="D220" s="118">
        <f t="shared" si="234"/>
        <v>1394.2380374809325</v>
      </c>
      <c r="E220" s="118">
        <f t="shared" si="235"/>
        <v>1436.0651786053604</v>
      </c>
      <c r="F220" s="118">
        <f t="shared" si="236"/>
        <v>1464.7864821774676</v>
      </c>
      <c r="G220" s="118">
        <f t="shared" si="237"/>
        <v>1420.8428877121435</v>
      </c>
      <c r="H220" s="118">
        <f t="shared" si="238"/>
        <v>1406.6344588350221</v>
      </c>
      <c r="I220" s="118">
        <f t="shared" si="239"/>
        <v>1434.7671480117226</v>
      </c>
      <c r="J220" s="118">
        <f t="shared" si="240"/>
        <v>1406.0718050514881</v>
      </c>
      <c r="K220" s="118">
        <f t="shared" si="241"/>
        <v>1392.0110870009732</v>
      </c>
      <c r="L220" s="118">
        <f t="shared" si="242"/>
        <v>1419.8513087409926</v>
      </c>
      <c r="M220" s="118">
        <f t="shared" si="243"/>
        <v>1448.2483349158126</v>
      </c>
      <c r="N220" s="156">
        <f t="shared" si="244"/>
        <v>17041.004559375735</v>
      </c>
    </row>
    <row r="221" spans="1:14" x14ac:dyDescent="0.2">
      <c r="A221" s="19" t="str">
        <f t="shared" si="231"/>
        <v>Cilantro</v>
      </c>
      <c r="B221" s="154">
        <f t="shared" si="232"/>
        <v>1394.7959558632779</v>
      </c>
      <c r="C221" s="118">
        <f t="shared" si="233"/>
        <v>1422.6918749805434</v>
      </c>
      <c r="D221" s="118">
        <f t="shared" si="234"/>
        <v>1394.2380374809325</v>
      </c>
      <c r="E221" s="118">
        <f t="shared" si="235"/>
        <v>1436.0651786053604</v>
      </c>
      <c r="F221" s="118">
        <f t="shared" si="236"/>
        <v>1464.7864821774676</v>
      </c>
      <c r="G221" s="118">
        <f t="shared" si="237"/>
        <v>1420.8428877121435</v>
      </c>
      <c r="H221" s="118">
        <f t="shared" si="238"/>
        <v>1406.6344588350221</v>
      </c>
      <c r="I221" s="118">
        <f t="shared" si="239"/>
        <v>1434.7671480117226</v>
      </c>
      <c r="J221" s="118">
        <f t="shared" si="240"/>
        <v>1406.0718050514881</v>
      </c>
      <c r="K221" s="118">
        <f t="shared" si="241"/>
        <v>1392.0110870009732</v>
      </c>
      <c r="L221" s="118">
        <f t="shared" si="242"/>
        <v>1419.8513087409926</v>
      </c>
      <c r="M221" s="118">
        <f t="shared" si="243"/>
        <v>1448.2483349158126</v>
      </c>
      <c r="N221" s="156">
        <f t="shared" si="244"/>
        <v>17041.004559375735</v>
      </c>
    </row>
    <row r="222" spans="1:14" x14ac:dyDescent="0.2">
      <c r="A222" s="19" t="str">
        <f t="shared" si="231"/>
        <v xml:space="preserve">Carne de cerdo marinada estilo oriental </v>
      </c>
      <c r="B222" s="154">
        <f t="shared" si="232"/>
        <v>52304.848344872895</v>
      </c>
      <c r="C222" s="118">
        <f t="shared" si="233"/>
        <v>53350.945311770352</v>
      </c>
      <c r="D222" s="118">
        <f t="shared" si="234"/>
        <v>52283.926405534941</v>
      </c>
      <c r="E222" s="118">
        <f t="shared" si="235"/>
        <v>53852.444197700992</v>
      </c>
      <c r="F222" s="118">
        <f t="shared" si="236"/>
        <v>54929.493081655011</v>
      </c>
      <c r="G222" s="118">
        <f t="shared" si="237"/>
        <v>53281.60828920536</v>
      </c>
      <c r="H222" s="118">
        <f t="shared" si="238"/>
        <v>52748.792206313308</v>
      </c>
      <c r="I222" s="118">
        <f t="shared" si="239"/>
        <v>53803.768050439576</v>
      </c>
      <c r="J222" s="118">
        <f t="shared" si="240"/>
        <v>52727.692689430784</v>
      </c>
      <c r="K222" s="118">
        <f t="shared" si="241"/>
        <v>52200.415762536475</v>
      </c>
      <c r="L222" s="118">
        <f t="shared" si="242"/>
        <v>53244.424077787204</v>
      </c>
      <c r="M222" s="118">
        <f t="shared" si="243"/>
        <v>54309.31255934295</v>
      </c>
      <c r="N222" s="156">
        <f t="shared" si="244"/>
        <v>639037.6709765899</v>
      </c>
    </row>
    <row r="223" spans="1:14" x14ac:dyDescent="0.2">
      <c r="A223" s="19" t="str">
        <f t="shared" si="231"/>
        <v>Pan árabe (Pita)</v>
      </c>
      <c r="B223" s="154">
        <f t="shared" si="232"/>
        <v>4184.3878675898322</v>
      </c>
      <c r="C223" s="118">
        <f t="shared" si="233"/>
        <v>4268.075624941629</v>
      </c>
      <c r="D223" s="118">
        <f t="shared" si="234"/>
        <v>4182.7141124427962</v>
      </c>
      <c r="E223" s="118">
        <f t="shared" si="235"/>
        <v>4308.1955358160803</v>
      </c>
      <c r="F223" s="118">
        <f t="shared" si="236"/>
        <v>4394.3594465324022</v>
      </c>
      <c r="G223" s="118">
        <f t="shared" si="237"/>
        <v>4262.5286631364297</v>
      </c>
      <c r="H223" s="118">
        <f t="shared" si="238"/>
        <v>4219.9033765050654</v>
      </c>
      <c r="I223" s="118">
        <f t="shared" si="239"/>
        <v>4304.3014440351672</v>
      </c>
      <c r="J223" s="118">
        <f t="shared" si="240"/>
        <v>4218.2154151544637</v>
      </c>
      <c r="K223" s="118">
        <f t="shared" si="241"/>
        <v>4176.0332610029191</v>
      </c>
      <c r="L223" s="118">
        <f t="shared" si="242"/>
        <v>4259.5539262229777</v>
      </c>
      <c r="M223" s="118">
        <f t="shared" si="243"/>
        <v>4344.7450047474376</v>
      </c>
      <c r="N223" s="156">
        <f t="shared" si="244"/>
        <v>51123.013678127201</v>
      </c>
    </row>
    <row r="224" spans="1:14" x14ac:dyDescent="0.2">
      <c r="A224" s="19" t="str">
        <f t="shared" si="231"/>
        <v>Tocino</v>
      </c>
      <c r="B224" s="154">
        <f t="shared" si="232"/>
        <v>14645.357536564405</v>
      </c>
      <c r="C224" s="118">
        <f t="shared" si="233"/>
        <v>14938.264687295694</v>
      </c>
      <c r="D224" s="118">
        <f t="shared" si="234"/>
        <v>14639.499393549781</v>
      </c>
      <c r="E224" s="118">
        <f t="shared" si="235"/>
        <v>15078.684375356273</v>
      </c>
      <c r="F224" s="118">
        <f t="shared" si="236"/>
        <v>15380.258062863399</v>
      </c>
      <c r="G224" s="118">
        <f t="shared" si="237"/>
        <v>14918.850320977497</v>
      </c>
      <c r="H224" s="118">
        <f t="shared" si="238"/>
        <v>14769.661817767723</v>
      </c>
      <c r="I224" s="118">
        <f t="shared" si="239"/>
        <v>15065.055054123077</v>
      </c>
      <c r="J224" s="118">
        <f t="shared" si="240"/>
        <v>14763.753953040616</v>
      </c>
      <c r="K224" s="118">
        <f t="shared" si="241"/>
        <v>14616.11641351021</v>
      </c>
      <c r="L224" s="118">
        <f t="shared" si="242"/>
        <v>14908.438741780414</v>
      </c>
      <c r="M224" s="118">
        <f t="shared" si="243"/>
        <v>15206.607516616023</v>
      </c>
      <c r="N224" s="156">
        <f t="shared" si="244"/>
        <v>178930.54787344509</v>
      </c>
    </row>
    <row r="225" spans="1:14" x14ac:dyDescent="0.2">
      <c r="A225" s="19" t="str">
        <f t="shared" si="231"/>
        <v>Chile poblano</v>
      </c>
      <c r="B225" s="154">
        <f t="shared" si="232"/>
        <v>4184.3878675898322</v>
      </c>
      <c r="C225" s="118">
        <f t="shared" si="233"/>
        <v>4268.075624941629</v>
      </c>
      <c r="D225" s="118">
        <f t="shared" si="234"/>
        <v>4182.7141124427962</v>
      </c>
      <c r="E225" s="118">
        <f t="shared" si="235"/>
        <v>4308.1955358160803</v>
      </c>
      <c r="F225" s="118">
        <f t="shared" si="236"/>
        <v>4394.3594465324022</v>
      </c>
      <c r="G225" s="118">
        <f t="shared" si="237"/>
        <v>4262.5286631364297</v>
      </c>
      <c r="H225" s="118">
        <f t="shared" si="238"/>
        <v>4219.9033765050654</v>
      </c>
      <c r="I225" s="118">
        <f t="shared" si="239"/>
        <v>4304.3014440351672</v>
      </c>
      <c r="J225" s="118">
        <f t="shared" si="240"/>
        <v>4218.2154151544637</v>
      </c>
      <c r="K225" s="118">
        <f t="shared" si="241"/>
        <v>4176.0332610029191</v>
      </c>
      <c r="L225" s="118">
        <f t="shared" si="242"/>
        <v>4259.5539262229777</v>
      </c>
      <c r="M225" s="118">
        <f t="shared" si="243"/>
        <v>4344.7450047474376</v>
      </c>
      <c r="N225" s="156">
        <f t="shared" si="244"/>
        <v>51123.013678127201</v>
      </c>
    </row>
    <row r="226" spans="1:14" x14ac:dyDescent="0.2">
      <c r="A226" s="19" t="str">
        <f t="shared" si="231"/>
        <v>Cebolla</v>
      </c>
      <c r="B226" s="154">
        <f t="shared" si="232"/>
        <v>3486.9898896581922</v>
      </c>
      <c r="C226" s="118">
        <f t="shared" si="233"/>
        <v>3556.7296874513559</v>
      </c>
      <c r="D226" s="118">
        <f t="shared" si="234"/>
        <v>3485.5950937023285</v>
      </c>
      <c r="E226" s="118">
        <f t="shared" si="235"/>
        <v>3590.1629465133983</v>
      </c>
      <c r="F226" s="118">
        <f t="shared" si="236"/>
        <v>3661.9662054436662</v>
      </c>
      <c r="G226" s="118">
        <f t="shared" si="237"/>
        <v>3552.1072192803563</v>
      </c>
      <c r="H226" s="118">
        <f t="shared" si="238"/>
        <v>3516.5861470875525</v>
      </c>
      <c r="I226" s="118">
        <f t="shared" si="239"/>
        <v>3586.9178700293037</v>
      </c>
      <c r="J226" s="118">
        <f t="shared" si="240"/>
        <v>3515.1795126287175</v>
      </c>
      <c r="K226" s="118">
        <f t="shared" si="241"/>
        <v>3480.0277175024303</v>
      </c>
      <c r="L226" s="118">
        <f t="shared" si="242"/>
        <v>3549.628271852479</v>
      </c>
      <c r="M226" s="118">
        <f t="shared" si="243"/>
        <v>3620.6208372895285</v>
      </c>
      <c r="N226" s="156">
        <f t="shared" si="244"/>
        <v>42602.51139843931</v>
      </c>
    </row>
    <row r="227" spans="1:14" x14ac:dyDescent="0.2">
      <c r="A227" s="19" t="str">
        <f t="shared" si="231"/>
        <v>Jitomate</v>
      </c>
      <c r="B227" s="154">
        <f t="shared" si="232"/>
        <v>2789.5919117265557</v>
      </c>
      <c r="C227" s="118">
        <f t="shared" si="233"/>
        <v>2845.3837499610868</v>
      </c>
      <c r="D227" s="118">
        <f t="shared" si="234"/>
        <v>2788.4760749618649</v>
      </c>
      <c r="E227" s="118">
        <f t="shared" si="235"/>
        <v>2872.1303572107208</v>
      </c>
      <c r="F227" s="118">
        <f t="shared" si="236"/>
        <v>2929.5729643549353</v>
      </c>
      <c r="G227" s="118">
        <f t="shared" si="237"/>
        <v>2841.6857754242869</v>
      </c>
      <c r="H227" s="118">
        <f t="shared" si="238"/>
        <v>2813.2689176700442</v>
      </c>
      <c r="I227" s="118">
        <f t="shared" si="239"/>
        <v>2869.5342960234452</v>
      </c>
      <c r="J227" s="118">
        <f t="shared" si="240"/>
        <v>2812.1436101029763</v>
      </c>
      <c r="K227" s="118">
        <f t="shared" si="241"/>
        <v>2784.0221740019465</v>
      </c>
      <c r="L227" s="118">
        <f t="shared" si="242"/>
        <v>2839.7026174819853</v>
      </c>
      <c r="M227" s="118">
        <f t="shared" si="243"/>
        <v>2896.4966698316252</v>
      </c>
      <c r="N227" s="156">
        <f t="shared" si="244"/>
        <v>34082.00911875147</v>
      </c>
    </row>
    <row r="228" spans="1:14" ht="15.75" x14ac:dyDescent="0.25">
      <c r="A228" s="62" t="s">
        <v>106</v>
      </c>
      <c r="B228" s="162">
        <f t="shared" ref="B228:N228" si="245">SUM(B229:B253,B258:B264)</f>
        <v>207422.45609599998</v>
      </c>
      <c r="C228" s="162">
        <f t="shared" si="245"/>
        <v>207422.45609599998</v>
      </c>
      <c r="D228" s="162">
        <f t="shared" si="245"/>
        <v>207422.45609599998</v>
      </c>
      <c r="E228" s="162">
        <f t="shared" si="245"/>
        <v>207422.45609599998</v>
      </c>
      <c r="F228" s="162">
        <f t="shared" si="245"/>
        <v>207422.45609599998</v>
      </c>
      <c r="G228" s="162">
        <f t="shared" si="245"/>
        <v>207422.45609599998</v>
      </c>
      <c r="H228" s="162">
        <f t="shared" si="245"/>
        <v>207422.45609599998</v>
      </c>
      <c r="I228" s="162">
        <f t="shared" si="245"/>
        <v>207422.45609599998</v>
      </c>
      <c r="J228" s="162">
        <f t="shared" si="245"/>
        <v>207422.45609599998</v>
      </c>
      <c r="K228" s="162">
        <f t="shared" si="245"/>
        <v>207422.45609599998</v>
      </c>
      <c r="L228" s="162">
        <f t="shared" si="245"/>
        <v>207422.45609599998</v>
      </c>
      <c r="M228" s="162">
        <f t="shared" si="245"/>
        <v>207422.45609599998</v>
      </c>
      <c r="N228" s="162">
        <f t="shared" si="245"/>
        <v>2489069.473152</v>
      </c>
    </row>
    <row r="229" spans="1:14" x14ac:dyDescent="0.2">
      <c r="A229" s="50" t="str">
        <f t="shared" ref="A229:B248" si="246">A176</f>
        <v>Renta del local</v>
      </c>
      <c r="B229" s="161">
        <f t="shared" si="246"/>
        <v>16000</v>
      </c>
      <c r="C229" s="161">
        <f t="shared" ref="C229:M229" si="247">B229</f>
        <v>16000</v>
      </c>
      <c r="D229" s="161">
        <f t="shared" si="247"/>
        <v>16000</v>
      </c>
      <c r="E229" s="161">
        <f t="shared" si="247"/>
        <v>16000</v>
      </c>
      <c r="F229" s="161">
        <f t="shared" si="247"/>
        <v>16000</v>
      </c>
      <c r="G229" s="161">
        <f t="shared" si="247"/>
        <v>16000</v>
      </c>
      <c r="H229" s="161">
        <f t="shared" si="247"/>
        <v>16000</v>
      </c>
      <c r="I229" s="161">
        <f t="shared" si="247"/>
        <v>16000</v>
      </c>
      <c r="J229" s="161">
        <f t="shared" si="247"/>
        <v>16000</v>
      </c>
      <c r="K229" s="161">
        <f t="shared" si="247"/>
        <v>16000</v>
      </c>
      <c r="L229" s="161">
        <f t="shared" si="247"/>
        <v>16000</v>
      </c>
      <c r="M229" s="161">
        <f t="shared" si="247"/>
        <v>16000</v>
      </c>
      <c r="N229" s="161">
        <f t="shared" ref="N229:N264" si="248">SUM(B229:M229)</f>
        <v>192000</v>
      </c>
    </row>
    <row r="230" spans="1:14" x14ac:dyDescent="0.2">
      <c r="A230" s="50" t="str">
        <f t="shared" si="246"/>
        <v>Internet / teléfono</v>
      </c>
      <c r="B230" s="161">
        <f t="shared" si="246"/>
        <v>600</v>
      </c>
      <c r="C230" s="161">
        <f t="shared" ref="C230:M230" si="249">B230</f>
        <v>600</v>
      </c>
      <c r="D230" s="161">
        <f t="shared" si="249"/>
        <v>600</v>
      </c>
      <c r="E230" s="161">
        <f t="shared" si="249"/>
        <v>600</v>
      </c>
      <c r="F230" s="161">
        <f t="shared" si="249"/>
        <v>600</v>
      </c>
      <c r="G230" s="161">
        <f t="shared" si="249"/>
        <v>600</v>
      </c>
      <c r="H230" s="161">
        <f t="shared" si="249"/>
        <v>600</v>
      </c>
      <c r="I230" s="161">
        <f t="shared" si="249"/>
        <v>600</v>
      </c>
      <c r="J230" s="161">
        <f t="shared" si="249"/>
        <v>600</v>
      </c>
      <c r="K230" s="161">
        <f t="shared" si="249"/>
        <v>600</v>
      </c>
      <c r="L230" s="161">
        <f t="shared" si="249"/>
        <v>600</v>
      </c>
      <c r="M230" s="161">
        <f t="shared" si="249"/>
        <v>600</v>
      </c>
      <c r="N230" s="161">
        <f t="shared" si="248"/>
        <v>7200</v>
      </c>
    </row>
    <row r="231" spans="1:14" x14ac:dyDescent="0.2">
      <c r="A231" s="50" t="str">
        <f t="shared" si="246"/>
        <v>Permisos y licencias</v>
      </c>
      <c r="B231" s="161">
        <f t="shared" si="246"/>
        <v>400</v>
      </c>
      <c r="C231" s="161">
        <f t="shared" ref="C231:M231" si="250">B231</f>
        <v>400</v>
      </c>
      <c r="D231" s="161">
        <f t="shared" si="250"/>
        <v>400</v>
      </c>
      <c r="E231" s="161">
        <f t="shared" si="250"/>
        <v>400</v>
      </c>
      <c r="F231" s="161">
        <f t="shared" si="250"/>
        <v>400</v>
      </c>
      <c r="G231" s="161">
        <f t="shared" si="250"/>
        <v>400</v>
      </c>
      <c r="H231" s="161">
        <f t="shared" si="250"/>
        <v>400</v>
      </c>
      <c r="I231" s="161">
        <f t="shared" si="250"/>
        <v>400</v>
      </c>
      <c r="J231" s="161">
        <f t="shared" si="250"/>
        <v>400</v>
      </c>
      <c r="K231" s="161">
        <f t="shared" si="250"/>
        <v>400</v>
      </c>
      <c r="L231" s="161">
        <f t="shared" si="250"/>
        <v>400</v>
      </c>
      <c r="M231" s="161">
        <f t="shared" si="250"/>
        <v>400</v>
      </c>
      <c r="N231" s="161">
        <f t="shared" si="248"/>
        <v>4800</v>
      </c>
    </row>
    <row r="232" spans="1:14" x14ac:dyDescent="0.2">
      <c r="A232" s="50" t="str">
        <f t="shared" si="246"/>
        <v>Mantenimiento</v>
      </c>
      <c r="B232" s="161">
        <f t="shared" si="246"/>
        <v>500</v>
      </c>
      <c r="C232" s="161">
        <f t="shared" ref="C232:M232" si="251">B232</f>
        <v>500</v>
      </c>
      <c r="D232" s="161">
        <f t="shared" si="251"/>
        <v>500</v>
      </c>
      <c r="E232" s="161">
        <f t="shared" si="251"/>
        <v>500</v>
      </c>
      <c r="F232" s="161">
        <f t="shared" si="251"/>
        <v>500</v>
      </c>
      <c r="G232" s="161">
        <f t="shared" si="251"/>
        <v>500</v>
      </c>
      <c r="H232" s="161">
        <f t="shared" si="251"/>
        <v>500</v>
      </c>
      <c r="I232" s="161">
        <f t="shared" si="251"/>
        <v>500</v>
      </c>
      <c r="J232" s="161">
        <f t="shared" si="251"/>
        <v>500</v>
      </c>
      <c r="K232" s="161">
        <f t="shared" si="251"/>
        <v>500</v>
      </c>
      <c r="L232" s="161">
        <f t="shared" si="251"/>
        <v>500</v>
      </c>
      <c r="M232" s="161">
        <f t="shared" si="251"/>
        <v>500</v>
      </c>
      <c r="N232" s="161">
        <f t="shared" si="248"/>
        <v>6000</v>
      </c>
    </row>
    <row r="233" spans="1:14" x14ac:dyDescent="0.2">
      <c r="A233" s="50" t="str">
        <f t="shared" si="246"/>
        <v>Depreciaciones</v>
      </c>
      <c r="B233" s="161">
        <f t="shared" si="246"/>
        <v>1500</v>
      </c>
      <c r="C233" s="161">
        <f t="shared" ref="C233:M233" si="252">B233</f>
        <v>1500</v>
      </c>
      <c r="D233" s="161">
        <f t="shared" si="252"/>
        <v>1500</v>
      </c>
      <c r="E233" s="161">
        <f t="shared" si="252"/>
        <v>1500</v>
      </c>
      <c r="F233" s="161">
        <f t="shared" si="252"/>
        <v>1500</v>
      </c>
      <c r="G233" s="161">
        <f t="shared" si="252"/>
        <v>1500</v>
      </c>
      <c r="H233" s="161">
        <f t="shared" si="252"/>
        <v>1500</v>
      </c>
      <c r="I233" s="161">
        <f t="shared" si="252"/>
        <v>1500</v>
      </c>
      <c r="J233" s="161">
        <f t="shared" si="252"/>
        <v>1500</v>
      </c>
      <c r="K233" s="161">
        <f t="shared" si="252"/>
        <v>1500</v>
      </c>
      <c r="L233" s="161">
        <f t="shared" si="252"/>
        <v>1500</v>
      </c>
      <c r="M233" s="161">
        <f t="shared" si="252"/>
        <v>1500</v>
      </c>
      <c r="N233" s="161">
        <f t="shared" si="248"/>
        <v>18000</v>
      </c>
    </row>
    <row r="234" spans="1:14" x14ac:dyDescent="0.2">
      <c r="A234" s="50" t="str">
        <f t="shared" si="246"/>
        <v>Energía eléctrica (Pago bimestral)</v>
      </c>
      <c r="B234" s="161">
        <f t="shared" si="246"/>
        <v>700</v>
      </c>
      <c r="C234" s="161">
        <f t="shared" ref="C234:M234" si="253">B234</f>
        <v>700</v>
      </c>
      <c r="D234" s="161">
        <f t="shared" si="253"/>
        <v>700</v>
      </c>
      <c r="E234" s="161">
        <f t="shared" si="253"/>
        <v>700</v>
      </c>
      <c r="F234" s="161">
        <f t="shared" si="253"/>
        <v>700</v>
      </c>
      <c r="G234" s="161">
        <f t="shared" si="253"/>
        <v>700</v>
      </c>
      <c r="H234" s="161">
        <f t="shared" si="253"/>
        <v>700</v>
      </c>
      <c r="I234" s="161">
        <f t="shared" si="253"/>
        <v>700</v>
      </c>
      <c r="J234" s="161">
        <f t="shared" si="253"/>
        <v>700</v>
      </c>
      <c r="K234" s="161">
        <f t="shared" si="253"/>
        <v>700</v>
      </c>
      <c r="L234" s="161">
        <f t="shared" si="253"/>
        <v>700</v>
      </c>
      <c r="M234" s="161">
        <f t="shared" si="253"/>
        <v>700</v>
      </c>
      <c r="N234" s="161">
        <f t="shared" si="248"/>
        <v>8400</v>
      </c>
    </row>
    <row r="235" spans="1:14" x14ac:dyDescent="0.2">
      <c r="A235" s="50" t="str">
        <f t="shared" si="246"/>
        <v>Agua</v>
      </c>
      <c r="B235" s="161">
        <f t="shared" si="246"/>
        <v>400</v>
      </c>
      <c r="C235" s="161">
        <f t="shared" ref="C235:M235" si="254">B235</f>
        <v>400</v>
      </c>
      <c r="D235" s="161">
        <f t="shared" si="254"/>
        <v>400</v>
      </c>
      <c r="E235" s="161">
        <f t="shared" si="254"/>
        <v>400</v>
      </c>
      <c r="F235" s="161">
        <f t="shared" si="254"/>
        <v>400</v>
      </c>
      <c r="G235" s="161">
        <f t="shared" si="254"/>
        <v>400</v>
      </c>
      <c r="H235" s="161">
        <f t="shared" si="254"/>
        <v>400</v>
      </c>
      <c r="I235" s="161">
        <f t="shared" si="254"/>
        <v>400</v>
      </c>
      <c r="J235" s="161">
        <f t="shared" si="254"/>
        <v>400</v>
      </c>
      <c r="K235" s="161">
        <f t="shared" si="254"/>
        <v>400</v>
      </c>
      <c r="L235" s="161">
        <f t="shared" si="254"/>
        <v>400</v>
      </c>
      <c r="M235" s="161">
        <f t="shared" si="254"/>
        <v>400</v>
      </c>
      <c r="N235" s="161">
        <f t="shared" si="248"/>
        <v>4800</v>
      </c>
    </row>
    <row r="236" spans="1:14" x14ac:dyDescent="0.2">
      <c r="A236" s="50" t="str">
        <f t="shared" si="246"/>
        <v>Gas estacionario</v>
      </c>
      <c r="B236" s="161">
        <f t="shared" si="246"/>
        <v>1200</v>
      </c>
      <c r="C236" s="161">
        <f t="shared" ref="C236:M236" si="255">B236</f>
        <v>1200</v>
      </c>
      <c r="D236" s="161">
        <f t="shared" si="255"/>
        <v>1200</v>
      </c>
      <c r="E236" s="161">
        <f t="shared" si="255"/>
        <v>1200</v>
      </c>
      <c r="F236" s="161">
        <f t="shared" si="255"/>
        <v>1200</v>
      </c>
      <c r="G236" s="161">
        <f t="shared" si="255"/>
        <v>1200</v>
      </c>
      <c r="H236" s="161">
        <f t="shared" si="255"/>
        <v>1200</v>
      </c>
      <c r="I236" s="161">
        <f t="shared" si="255"/>
        <v>1200</v>
      </c>
      <c r="J236" s="161">
        <f t="shared" si="255"/>
        <v>1200</v>
      </c>
      <c r="K236" s="161">
        <f t="shared" si="255"/>
        <v>1200</v>
      </c>
      <c r="L236" s="161">
        <f t="shared" si="255"/>
        <v>1200</v>
      </c>
      <c r="M236" s="161">
        <f t="shared" si="255"/>
        <v>1200</v>
      </c>
      <c r="N236" s="161">
        <f t="shared" si="248"/>
        <v>14400</v>
      </c>
    </row>
    <row r="237" spans="1:14" x14ac:dyDescent="0.2">
      <c r="A237" s="50" t="str">
        <f t="shared" si="246"/>
        <v>Limpieza / fumigación</v>
      </c>
      <c r="B237" s="161">
        <f t="shared" si="246"/>
        <v>300</v>
      </c>
      <c r="C237" s="161">
        <f t="shared" ref="C237:M237" si="256">B237</f>
        <v>300</v>
      </c>
      <c r="D237" s="161">
        <f t="shared" si="256"/>
        <v>300</v>
      </c>
      <c r="E237" s="161">
        <f t="shared" si="256"/>
        <v>300</v>
      </c>
      <c r="F237" s="161">
        <f t="shared" si="256"/>
        <v>300</v>
      </c>
      <c r="G237" s="161">
        <f t="shared" si="256"/>
        <v>300</v>
      </c>
      <c r="H237" s="161">
        <f t="shared" si="256"/>
        <v>300</v>
      </c>
      <c r="I237" s="161">
        <f t="shared" si="256"/>
        <v>300</v>
      </c>
      <c r="J237" s="161">
        <f t="shared" si="256"/>
        <v>300</v>
      </c>
      <c r="K237" s="161">
        <f t="shared" si="256"/>
        <v>300</v>
      </c>
      <c r="L237" s="161">
        <f t="shared" si="256"/>
        <v>300</v>
      </c>
      <c r="M237" s="161">
        <f t="shared" si="256"/>
        <v>300</v>
      </c>
      <c r="N237" s="161">
        <f t="shared" si="248"/>
        <v>3600</v>
      </c>
    </row>
    <row r="238" spans="1:14" x14ac:dyDescent="0.2">
      <c r="A238" s="50" t="str">
        <f t="shared" si="246"/>
        <v>Mesero</v>
      </c>
      <c r="B238" s="161">
        <f t="shared" si="246"/>
        <v>20299.32</v>
      </c>
      <c r="C238" s="161">
        <f t="shared" ref="C238:M238" si="257">B238</f>
        <v>20299.32</v>
      </c>
      <c r="D238" s="161">
        <f t="shared" si="257"/>
        <v>20299.32</v>
      </c>
      <c r="E238" s="161">
        <f t="shared" si="257"/>
        <v>20299.32</v>
      </c>
      <c r="F238" s="161">
        <f t="shared" si="257"/>
        <v>20299.32</v>
      </c>
      <c r="G238" s="161">
        <f t="shared" si="257"/>
        <v>20299.32</v>
      </c>
      <c r="H238" s="161">
        <f t="shared" si="257"/>
        <v>20299.32</v>
      </c>
      <c r="I238" s="161">
        <f t="shared" si="257"/>
        <v>20299.32</v>
      </c>
      <c r="J238" s="161">
        <f t="shared" si="257"/>
        <v>20299.32</v>
      </c>
      <c r="K238" s="161">
        <f t="shared" si="257"/>
        <v>20299.32</v>
      </c>
      <c r="L238" s="161">
        <f t="shared" si="257"/>
        <v>20299.32</v>
      </c>
      <c r="M238" s="161">
        <f t="shared" si="257"/>
        <v>20299.32</v>
      </c>
      <c r="N238" s="161">
        <f t="shared" si="248"/>
        <v>243591.84000000005</v>
      </c>
    </row>
    <row r="239" spans="1:14" x14ac:dyDescent="0.2">
      <c r="A239" s="50" t="str">
        <f t="shared" si="246"/>
        <v>Verduras, ensaladas y guarniciones</v>
      </c>
      <c r="B239" s="161">
        <f t="shared" si="246"/>
        <v>6348.32</v>
      </c>
      <c r="C239" s="161">
        <f t="shared" ref="C239:M239" si="258">B239</f>
        <v>6348.32</v>
      </c>
      <c r="D239" s="161">
        <f t="shared" si="258"/>
        <v>6348.32</v>
      </c>
      <c r="E239" s="161">
        <f t="shared" si="258"/>
        <v>6348.32</v>
      </c>
      <c r="F239" s="161">
        <f t="shared" si="258"/>
        <v>6348.32</v>
      </c>
      <c r="G239" s="161">
        <f t="shared" si="258"/>
        <v>6348.32</v>
      </c>
      <c r="H239" s="161">
        <f t="shared" si="258"/>
        <v>6348.32</v>
      </c>
      <c r="I239" s="161">
        <f t="shared" si="258"/>
        <v>6348.32</v>
      </c>
      <c r="J239" s="161">
        <f t="shared" si="258"/>
        <v>6348.32</v>
      </c>
      <c r="K239" s="161">
        <f t="shared" si="258"/>
        <v>6348.32</v>
      </c>
      <c r="L239" s="161">
        <f t="shared" si="258"/>
        <v>6348.32</v>
      </c>
      <c r="M239" s="161">
        <f t="shared" si="258"/>
        <v>6348.32</v>
      </c>
      <c r="N239" s="161">
        <f t="shared" si="248"/>
        <v>76179.839999999997</v>
      </c>
    </row>
    <row r="240" spans="1:14" x14ac:dyDescent="0.2">
      <c r="A240" s="50" t="str">
        <f t="shared" si="246"/>
        <v>Salsas y Járabes</v>
      </c>
      <c r="B240" s="161">
        <f t="shared" si="246"/>
        <v>6348.32</v>
      </c>
      <c r="C240" s="161">
        <f t="shared" ref="C240:M240" si="259">B240</f>
        <v>6348.32</v>
      </c>
      <c r="D240" s="161">
        <f t="shared" si="259"/>
        <v>6348.32</v>
      </c>
      <c r="E240" s="161">
        <f t="shared" si="259"/>
        <v>6348.32</v>
      </c>
      <c r="F240" s="161">
        <f t="shared" si="259"/>
        <v>6348.32</v>
      </c>
      <c r="G240" s="161">
        <f t="shared" si="259"/>
        <v>6348.32</v>
      </c>
      <c r="H240" s="161">
        <f t="shared" si="259"/>
        <v>6348.32</v>
      </c>
      <c r="I240" s="161">
        <f t="shared" si="259"/>
        <v>6348.32</v>
      </c>
      <c r="J240" s="161">
        <f t="shared" si="259"/>
        <v>6348.32</v>
      </c>
      <c r="K240" s="161">
        <f t="shared" si="259"/>
        <v>6348.32</v>
      </c>
      <c r="L240" s="161">
        <f t="shared" si="259"/>
        <v>6348.32</v>
      </c>
      <c r="M240" s="161">
        <f t="shared" si="259"/>
        <v>6348.32</v>
      </c>
      <c r="N240" s="161">
        <f t="shared" si="248"/>
        <v>76179.839999999997</v>
      </c>
    </row>
    <row r="241" spans="1:14" x14ac:dyDescent="0.2">
      <c r="A241" s="50" t="str">
        <f t="shared" si="246"/>
        <v>Coordinador de parrilla</v>
      </c>
      <c r="B241" s="161">
        <f t="shared" si="246"/>
        <v>11106.76</v>
      </c>
      <c r="C241" s="161">
        <f t="shared" ref="C241:M241" si="260">B241</f>
        <v>11106.76</v>
      </c>
      <c r="D241" s="161">
        <f t="shared" si="260"/>
        <v>11106.76</v>
      </c>
      <c r="E241" s="161">
        <f t="shared" si="260"/>
        <v>11106.76</v>
      </c>
      <c r="F241" s="161">
        <f t="shared" si="260"/>
        <v>11106.76</v>
      </c>
      <c r="G241" s="161">
        <f t="shared" si="260"/>
        <v>11106.76</v>
      </c>
      <c r="H241" s="161">
        <f t="shared" si="260"/>
        <v>11106.76</v>
      </c>
      <c r="I241" s="161">
        <f t="shared" si="260"/>
        <v>11106.76</v>
      </c>
      <c r="J241" s="161">
        <f t="shared" si="260"/>
        <v>11106.76</v>
      </c>
      <c r="K241" s="161">
        <f t="shared" si="260"/>
        <v>11106.76</v>
      </c>
      <c r="L241" s="161">
        <f t="shared" si="260"/>
        <v>11106.76</v>
      </c>
      <c r="M241" s="161">
        <f t="shared" si="260"/>
        <v>11106.76</v>
      </c>
      <c r="N241" s="161">
        <f t="shared" si="248"/>
        <v>133281.11999999997</v>
      </c>
    </row>
    <row r="242" spans="1:14" x14ac:dyDescent="0.2">
      <c r="A242" s="50" t="str">
        <f t="shared" si="246"/>
        <v>Parrillero plancha</v>
      </c>
      <c r="B242" s="161">
        <f t="shared" si="246"/>
        <v>8895</v>
      </c>
      <c r="C242" s="161">
        <f t="shared" ref="C242:M242" si="261">B242</f>
        <v>8895</v>
      </c>
      <c r="D242" s="161">
        <f t="shared" si="261"/>
        <v>8895</v>
      </c>
      <c r="E242" s="161">
        <f t="shared" si="261"/>
        <v>8895</v>
      </c>
      <c r="F242" s="161">
        <f t="shared" si="261"/>
        <v>8895</v>
      </c>
      <c r="G242" s="161">
        <f t="shared" si="261"/>
        <v>8895</v>
      </c>
      <c r="H242" s="161">
        <f t="shared" si="261"/>
        <v>8895</v>
      </c>
      <c r="I242" s="161">
        <f t="shared" si="261"/>
        <v>8895</v>
      </c>
      <c r="J242" s="161">
        <f t="shared" si="261"/>
        <v>8895</v>
      </c>
      <c r="K242" s="161">
        <f t="shared" si="261"/>
        <v>8895</v>
      </c>
      <c r="L242" s="161">
        <f t="shared" si="261"/>
        <v>8895</v>
      </c>
      <c r="M242" s="161">
        <f t="shared" si="261"/>
        <v>8895</v>
      </c>
      <c r="N242" s="161">
        <f t="shared" si="248"/>
        <v>106740</v>
      </c>
    </row>
    <row r="243" spans="1:14" x14ac:dyDescent="0.2">
      <c r="A243" s="50" t="str">
        <f t="shared" si="246"/>
        <v>Parrillero vapor</v>
      </c>
      <c r="B243" s="161">
        <f t="shared" si="246"/>
        <v>7862.36</v>
      </c>
      <c r="C243" s="161">
        <f t="shared" ref="C243:M243" si="262">B243</f>
        <v>7862.36</v>
      </c>
      <c r="D243" s="161">
        <f t="shared" si="262"/>
        <v>7862.36</v>
      </c>
      <c r="E243" s="161">
        <f t="shared" si="262"/>
        <v>7862.36</v>
      </c>
      <c r="F243" s="161">
        <f t="shared" si="262"/>
        <v>7862.36</v>
      </c>
      <c r="G243" s="161">
        <f t="shared" si="262"/>
        <v>7862.36</v>
      </c>
      <c r="H243" s="161">
        <f t="shared" si="262"/>
        <v>7862.36</v>
      </c>
      <c r="I243" s="161">
        <f t="shared" si="262"/>
        <v>7862.36</v>
      </c>
      <c r="J243" s="161">
        <f t="shared" si="262"/>
        <v>7862.36</v>
      </c>
      <c r="K243" s="161">
        <f t="shared" si="262"/>
        <v>7862.36</v>
      </c>
      <c r="L243" s="161">
        <f t="shared" si="262"/>
        <v>7862.36</v>
      </c>
      <c r="M243" s="161">
        <f t="shared" si="262"/>
        <v>7862.36</v>
      </c>
      <c r="N243" s="161">
        <f t="shared" si="248"/>
        <v>94348.319999999992</v>
      </c>
    </row>
    <row r="244" spans="1:14" x14ac:dyDescent="0.2">
      <c r="A244" s="50" t="str">
        <f t="shared" si="246"/>
        <v>Pastorero</v>
      </c>
      <c r="B244" s="161">
        <f t="shared" si="246"/>
        <v>8895</v>
      </c>
      <c r="C244" s="161">
        <f t="shared" ref="C244:M244" si="263">B244</f>
        <v>8895</v>
      </c>
      <c r="D244" s="161">
        <f t="shared" si="263"/>
        <v>8895</v>
      </c>
      <c r="E244" s="161">
        <f t="shared" si="263"/>
        <v>8895</v>
      </c>
      <c r="F244" s="161">
        <f t="shared" si="263"/>
        <v>8895</v>
      </c>
      <c r="G244" s="161">
        <f t="shared" si="263"/>
        <v>8895</v>
      </c>
      <c r="H244" s="161">
        <f t="shared" si="263"/>
        <v>8895</v>
      </c>
      <c r="I244" s="161">
        <f t="shared" si="263"/>
        <v>8895</v>
      </c>
      <c r="J244" s="161">
        <f t="shared" si="263"/>
        <v>8895</v>
      </c>
      <c r="K244" s="161">
        <f t="shared" si="263"/>
        <v>8895</v>
      </c>
      <c r="L244" s="161">
        <f t="shared" si="263"/>
        <v>8895</v>
      </c>
      <c r="M244" s="161">
        <f t="shared" si="263"/>
        <v>8895</v>
      </c>
      <c r="N244" s="161">
        <f t="shared" si="248"/>
        <v>106740</v>
      </c>
    </row>
    <row r="245" spans="1:14" x14ac:dyDescent="0.2">
      <c r="A245" s="50" t="str">
        <f t="shared" si="246"/>
        <v>Lavatrastes</v>
      </c>
      <c r="B245" s="161">
        <f t="shared" si="246"/>
        <v>6348.32</v>
      </c>
      <c r="C245" s="161">
        <f t="shared" ref="C245:M245" si="264">B245</f>
        <v>6348.32</v>
      </c>
      <c r="D245" s="161">
        <f t="shared" si="264"/>
        <v>6348.32</v>
      </c>
      <c r="E245" s="161">
        <f t="shared" si="264"/>
        <v>6348.32</v>
      </c>
      <c r="F245" s="161">
        <f t="shared" si="264"/>
        <v>6348.32</v>
      </c>
      <c r="G245" s="161">
        <f t="shared" si="264"/>
        <v>6348.32</v>
      </c>
      <c r="H245" s="161">
        <f t="shared" si="264"/>
        <v>6348.32</v>
      </c>
      <c r="I245" s="161">
        <f t="shared" si="264"/>
        <v>6348.32</v>
      </c>
      <c r="J245" s="161">
        <f t="shared" si="264"/>
        <v>6348.32</v>
      </c>
      <c r="K245" s="161">
        <f t="shared" si="264"/>
        <v>6348.32</v>
      </c>
      <c r="L245" s="161">
        <f t="shared" si="264"/>
        <v>6348.32</v>
      </c>
      <c r="M245" s="161">
        <f t="shared" si="264"/>
        <v>6348.32</v>
      </c>
      <c r="N245" s="161">
        <f t="shared" si="248"/>
        <v>76179.839999999997</v>
      </c>
    </row>
    <row r="246" spans="1:14" x14ac:dyDescent="0.2">
      <c r="A246" s="50" t="str">
        <f t="shared" si="246"/>
        <v>Gerente general</v>
      </c>
      <c r="B246" s="161">
        <f t="shared" si="246"/>
        <v>17263.96</v>
      </c>
      <c r="C246" s="161">
        <f t="shared" ref="C246:M246" si="265">B246</f>
        <v>17263.96</v>
      </c>
      <c r="D246" s="161">
        <f t="shared" si="265"/>
        <v>17263.96</v>
      </c>
      <c r="E246" s="161">
        <f t="shared" si="265"/>
        <v>17263.96</v>
      </c>
      <c r="F246" s="161">
        <f t="shared" si="265"/>
        <v>17263.96</v>
      </c>
      <c r="G246" s="161">
        <f t="shared" si="265"/>
        <v>17263.96</v>
      </c>
      <c r="H246" s="161">
        <f t="shared" si="265"/>
        <v>17263.96</v>
      </c>
      <c r="I246" s="161">
        <f t="shared" si="265"/>
        <v>17263.96</v>
      </c>
      <c r="J246" s="161">
        <f t="shared" si="265"/>
        <v>17263.96</v>
      </c>
      <c r="K246" s="161">
        <f t="shared" si="265"/>
        <v>17263.96</v>
      </c>
      <c r="L246" s="161">
        <f t="shared" si="265"/>
        <v>17263.96</v>
      </c>
      <c r="M246" s="161">
        <f t="shared" si="265"/>
        <v>17263.96</v>
      </c>
      <c r="N246" s="161">
        <f t="shared" si="248"/>
        <v>207167.51999999993</v>
      </c>
    </row>
    <row r="247" spans="1:14" x14ac:dyDescent="0.2">
      <c r="A247" s="50" t="str">
        <f t="shared" si="246"/>
        <v>Asesor</v>
      </c>
      <c r="B247" s="161">
        <f t="shared" si="246"/>
        <v>17204.32</v>
      </c>
      <c r="C247" s="161">
        <f t="shared" ref="C247:M247" si="266">B247</f>
        <v>17204.32</v>
      </c>
      <c r="D247" s="161">
        <f t="shared" si="266"/>
        <v>17204.32</v>
      </c>
      <c r="E247" s="161">
        <f t="shared" si="266"/>
        <v>17204.32</v>
      </c>
      <c r="F247" s="161">
        <f t="shared" si="266"/>
        <v>17204.32</v>
      </c>
      <c r="G247" s="161">
        <f t="shared" si="266"/>
        <v>17204.32</v>
      </c>
      <c r="H247" s="161">
        <f t="shared" si="266"/>
        <v>17204.32</v>
      </c>
      <c r="I247" s="161">
        <f t="shared" si="266"/>
        <v>17204.32</v>
      </c>
      <c r="J247" s="161">
        <f t="shared" si="266"/>
        <v>17204.32</v>
      </c>
      <c r="K247" s="161">
        <f t="shared" si="266"/>
        <v>17204.32</v>
      </c>
      <c r="L247" s="161">
        <f t="shared" si="266"/>
        <v>17204.32</v>
      </c>
      <c r="M247" s="161">
        <f t="shared" si="266"/>
        <v>17204.32</v>
      </c>
      <c r="N247" s="161">
        <f t="shared" si="248"/>
        <v>206451.84000000005</v>
      </c>
    </row>
    <row r="248" spans="1:14" x14ac:dyDescent="0.2">
      <c r="A248" s="50" t="str">
        <f t="shared" si="246"/>
        <v>Cajero</v>
      </c>
      <c r="B248" s="161">
        <f t="shared" si="246"/>
        <v>8377.56</v>
      </c>
      <c r="C248" s="161">
        <f t="shared" ref="C248:M248" si="267">B248</f>
        <v>8377.56</v>
      </c>
      <c r="D248" s="161">
        <f t="shared" si="267"/>
        <v>8377.56</v>
      </c>
      <c r="E248" s="161">
        <f t="shared" si="267"/>
        <v>8377.56</v>
      </c>
      <c r="F248" s="161">
        <f t="shared" si="267"/>
        <v>8377.56</v>
      </c>
      <c r="G248" s="161">
        <f t="shared" si="267"/>
        <v>8377.56</v>
      </c>
      <c r="H248" s="161">
        <f t="shared" si="267"/>
        <v>8377.56</v>
      </c>
      <c r="I248" s="161">
        <f t="shared" si="267"/>
        <v>8377.56</v>
      </c>
      <c r="J248" s="161">
        <f t="shared" si="267"/>
        <v>8377.56</v>
      </c>
      <c r="K248" s="161">
        <f t="shared" si="267"/>
        <v>8377.56</v>
      </c>
      <c r="L248" s="161">
        <f t="shared" si="267"/>
        <v>8377.56</v>
      </c>
      <c r="M248" s="161">
        <f t="shared" si="267"/>
        <v>8377.56</v>
      </c>
      <c r="N248" s="161">
        <f t="shared" si="248"/>
        <v>100530.71999999999</v>
      </c>
    </row>
    <row r="249" spans="1:14" x14ac:dyDescent="0.2">
      <c r="A249" s="50" t="str">
        <f t="shared" ref="A249:B264" si="268">A196</f>
        <v>Contador</v>
      </c>
      <c r="B249" s="161">
        <f t="shared" si="268"/>
        <v>14594.56</v>
      </c>
      <c r="C249" s="161">
        <f t="shared" ref="C249:M249" si="269">B249</f>
        <v>14594.56</v>
      </c>
      <c r="D249" s="161">
        <f t="shared" si="269"/>
        <v>14594.56</v>
      </c>
      <c r="E249" s="161">
        <f t="shared" si="269"/>
        <v>14594.56</v>
      </c>
      <c r="F249" s="161">
        <f t="shared" si="269"/>
        <v>14594.56</v>
      </c>
      <c r="G249" s="161">
        <f t="shared" si="269"/>
        <v>14594.56</v>
      </c>
      <c r="H249" s="161">
        <f t="shared" si="269"/>
        <v>14594.56</v>
      </c>
      <c r="I249" s="161">
        <f t="shared" si="269"/>
        <v>14594.56</v>
      </c>
      <c r="J249" s="161">
        <f t="shared" si="269"/>
        <v>14594.56</v>
      </c>
      <c r="K249" s="161">
        <f t="shared" si="269"/>
        <v>14594.56</v>
      </c>
      <c r="L249" s="161">
        <f t="shared" si="269"/>
        <v>14594.56</v>
      </c>
      <c r="M249" s="161">
        <f t="shared" si="269"/>
        <v>14594.56</v>
      </c>
      <c r="N249" s="161">
        <f t="shared" si="248"/>
        <v>175134.72</v>
      </c>
    </row>
    <row r="250" spans="1:14" x14ac:dyDescent="0.2">
      <c r="A250" s="50" t="str">
        <f t="shared" si="268"/>
        <v>Compras</v>
      </c>
      <c r="B250" s="161">
        <f t="shared" si="268"/>
        <v>15899.44</v>
      </c>
      <c r="C250" s="161">
        <f t="shared" ref="C250:M250" si="270">B250</f>
        <v>15899.44</v>
      </c>
      <c r="D250" s="161">
        <f t="shared" si="270"/>
        <v>15899.44</v>
      </c>
      <c r="E250" s="161">
        <f t="shared" si="270"/>
        <v>15899.44</v>
      </c>
      <c r="F250" s="161">
        <f t="shared" si="270"/>
        <v>15899.44</v>
      </c>
      <c r="G250" s="161">
        <f t="shared" si="270"/>
        <v>15899.44</v>
      </c>
      <c r="H250" s="161">
        <f t="shared" si="270"/>
        <v>15899.44</v>
      </c>
      <c r="I250" s="161">
        <f t="shared" si="270"/>
        <v>15899.44</v>
      </c>
      <c r="J250" s="161">
        <f t="shared" si="270"/>
        <v>15899.44</v>
      </c>
      <c r="K250" s="161">
        <f t="shared" si="270"/>
        <v>15899.44</v>
      </c>
      <c r="L250" s="161">
        <f t="shared" si="270"/>
        <v>15899.44</v>
      </c>
      <c r="M250" s="161">
        <f t="shared" si="270"/>
        <v>15899.44</v>
      </c>
      <c r="N250" s="161">
        <f t="shared" si="248"/>
        <v>190793.28</v>
      </c>
    </row>
    <row r="251" spans="1:14" x14ac:dyDescent="0.2">
      <c r="A251" s="50" t="str">
        <f t="shared" si="268"/>
        <v>Supervisor de envios y calidad</v>
      </c>
      <c r="B251" s="161">
        <f t="shared" si="268"/>
        <v>11984.84</v>
      </c>
      <c r="C251" s="161">
        <f t="shared" ref="C251:M251" si="271">B251</f>
        <v>11984.84</v>
      </c>
      <c r="D251" s="161">
        <f t="shared" si="271"/>
        <v>11984.84</v>
      </c>
      <c r="E251" s="161">
        <f t="shared" si="271"/>
        <v>11984.84</v>
      </c>
      <c r="F251" s="161">
        <f t="shared" si="271"/>
        <v>11984.84</v>
      </c>
      <c r="G251" s="161">
        <f t="shared" si="271"/>
        <v>11984.84</v>
      </c>
      <c r="H251" s="161">
        <f t="shared" si="271"/>
        <v>11984.84</v>
      </c>
      <c r="I251" s="161">
        <f t="shared" si="271"/>
        <v>11984.84</v>
      </c>
      <c r="J251" s="161">
        <f t="shared" si="271"/>
        <v>11984.84</v>
      </c>
      <c r="K251" s="161">
        <f t="shared" si="271"/>
        <v>11984.84</v>
      </c>
      <c r="L251" s="161">
        <f t="shared" si="271"/>
        <v>11984.84</v>
      </c>
      <c r="M251" s="161">
        <f t="shared" si="271"/>
        <v>11984.84</v>
      </c>
      <c r="N251" s="161">
        <f t="shared" si="248"/>
        <v>143818.07999999999</v>
      </c>
    </row>
    <row r="252" spans="1:14" x14ac:dyDescent="0.2">
      <c r="A252" s="50" t="str">
        <f t="shared" si="268"/>
        <v>Seguro social (IMSS)</v>
      </c>
      <c r="B252" s="161">
        <f t="shared" si="268"/>
        <v>3076</v>
      </c>
      <c r="C252" s="161">
        <f t="shared" ref="C252:M252" si="272">B252</f>
        <v>3076</v>
      </c>
      <c r="D252" s="161">
        <f t="shared" si="272"/>
        <v>3076</v>
      </c>
      <c r="E252" s="161">
        <f t="shared" si="272"/>
        <v>3076</v>
      </c>
      <c r="F252" s="161">
        <f t="shared" si="272"/>
        <v>3076</v>
      </c>
      <c r="G252" s="161">
        <f t="shared" si="272"/>
        <v>3076</v>
      </c>
      <c r="H252" s="161">
        <f t="shared" si="272"/>
        <v>3076</v>
      </c>
      <c r="I252" s="161">
        <f t="shared" si="272"/>
        <v>3076</v>
      </c>
      <c r="J252" s="161">
        <f t="shared" si="272"/>
        <v>3076</v>
      </c>
      <c r="K252" s="161">
        <f t="shared" si="272"/>
        <v>3076</v>
      </c>
      <c r="L252" s="161">
        <f t="shared" si="272"/>
        <v>3076</v>
      </c>
      <c r="M252" s="161">
        <f t="shared" si="272"/>
        <v>3076</v>
      </c>
      <c r="N252" s="161">
        <f t="shared" si="248"/>
        <v>36912</v>
      </c>
    </row>
    <row r="253" spans="1:14" x14ac:dyDescent="0.2">
      <c r="A253" s="50" t="str">
        <f t="shared" si="268"/>
        <v>INFONAVIT</v>
      </c>
      <c r="B253" s="161">
        <f t="shared" si="268"/>
        <v>20318.376096</v>
      </c>
      <c r="C253" s="161">
        <f t="shared" ref="C253:M253" si="273">B253</f>
        <v>20318.376096</v>
      </c>
      <c r="D253" s="161">
        <f t="shared" si="273"/>
        <v>20318.376096</v>
      </c>
      <c r="E253" s="161">
        <f t="shared" si="273"/>
        <v>20318.376096</v>
      </c>
      <c r="F253" s="161">
        <f t="shared" si="273"/>
        <v>20318.376096</v>
      </c>
      <c r="G253" s="161">
        <f t="shared" si="273"/>
        <v>20318.376096</v>
      </c>
      <c r="H253" s="161">
        <f t="shared" si="273"/>
        <v>20318.376096</v>
      </c>
      <c r="I253" s="161">
        <f t="shared" si="273"/>
        <v>20318.376096</v>
      </c>
      <c r="J253" s="161">
        <f t="shared" si="273"/>
        <v>20318.376096</v>
      </c>
      <c r="K253" s="161">
        <f t="shared" si="273"/>
        <v>20318.376096</v>
      </c>
      <c r="L253" s="161">
        <f t="shared" si="273"/>
        <v>20318.376096</v>
      </c>
      <c r="M253" s="161">
        <f t="shared" si="273"/>
        <v>20318.376096</v>
      </c>
      <c r="N253" s="161">
        <f t="shared" si="248"/>
        <v>243820.51315199994</v>
      </c>
    </row>
    <row r="254" spans="1:14" x14ac:dyDescent="0.2">
      <c r="A254" s="50" t="str">
        <f t="shared" si="268"/>
        <v>Seguro de retiro y cesantía</v>
      </c>
      <c r="B254" s="161">
        <f t="shared" si="268"/>
        <v>17372.16</v>
      </c>
      <c r="C254" s="161">
        <f t="shared" ref="C254:M254" si="274">B254</f>
        <v>17372.16</v>
      </c>
      <c r="D254" s="161">
        <f t="shared" si="274"/>
        <v>17372.16</v>
      </c>
      <c r="E254" s="161">
        <f t="shared" si="274"/>
        <v>17372.16</v>
      </c>
      <c r="F254" s="161">
        <f t="shared" si="274"/>
        <v>17372.16</v>
      </c>
      <c r="G254" s="161">
        <f t="shared" si="274"/>
        <v>17372.16</v>
      </c>
      <c r="H254" s="161">
        <f t="shared" si="274"/>
        <v>17372.16</v>
      </c>
      <c r="I254" s="161">
        <f t="shared" si="274"/>
        <v>17372.16</v>
      </c>
      <c r="J254" s="161">
        <f t="shared" si="274"/>
        <v>17372.16</v>
      </c>
      <c r="K254" s="161">
        <f t="shared" si="274"/>
        <v>17372.16</v>
      </c>
      <c r="L254" s="161">
        <f t="shared" si="274"/>
        <v>17372.16</v>
      </c>
      <c r="M254" s="161">
        <f t="shared" si="274"/>
        <v>17372.16</v>
      </c>
      <c r="N254" s="161">
        <f t="shared" si="248"/>
        <v>208465.92000000001</v>
      </c>
    </row>
    <row r="255" spans="1:14" x14ac:dyDescent="0.2">
      <c r="A255" s="50" t="str">
        <f t="shared" si="268"/>
        <v>ISR</v>
      </c>
      <c r="B255" s="161">
        <f t="shared" si="268"/>
        <v>5131.68</v>
      </c>
      <c r="C255" s="161">
        <f t="shared" ref="C255:M255" si="275">B255</f>
        <v>5131.68</v>
      </c>
      <c r="D255" s="161">
        <f t="shared" si="275"/>
        <v>5131.68</v>
      </c>
      <c r="E255" s="161">
        <f t="shared" si="275"/>
        <v>5131.68</v>
      </c>
      <c r="F255" s="161">
        <f t="shared" si="275"/>
        <v>5131.68</v>
      </c>
      <c r="G255" s="161">
        <f t="shared" si="275"/>
        <v>5131.68</v>
      </c>
      <c r="H255" s="161">
        <f t="shared" si="275"/>
        <v>5131.68</v>
      </c>
      <c r="I255" s="161">
        <f t="shared" si="275"/>
        <v>5131.68</v>
      </c>
      <c r="J255" s="161">
        <f t="shared" si="275"/>
        <v>5131.68</v>
      </c>
      <c r="K255" s="161">
        <f t="shared" si="275"/>
        <v>5131.68</v>
      </c>
      <c r="L255" s="161">
        <f t="shared" si="275"/>
        <v>5131.68</v>
      </c>
      <c r="M255" s="161">
        <f t="shared" si="275"/>
        <v>5131.68</v>
      </c>
      <c r="N255" s="161">
        <f t="shared" si="248"/>
        <v>61580.160000000003</v>
      </c>
    </row>
    <row r="256" spans="1:14" x14ac:dyDescent="0.2">
      <c r="A256" s="50" t="str">
        <f t="shared" si="268"/>
        <v>Uniformes y protección</v>
      </c>
      <c r="B256" s="161">
        <f t="shared" si="268"/>
        <v>6400</v>
      </c>
      <c r="C256" s="161">
        <f t="shared" ref="C256:M256" si="276">B256</f>
        <v>6400</v>
      </c>
      <c r="D256" s="161">
        <f t="shared" si="276"/>
        <v>6400</v>
      </c>
      <c r="E256" s="161">
        <f t="shared" si="276"/>
        <v>6400</v>
      </c>
      <c r="F256" s="161">
        <f t="shared" si="276"/>
        <v>6400</v>
      </c>
      <c r="G256" s="161">
        <f t="shared" si="276"/>
        <v>6400</v>
      </c>
      <c r="H256" s="161">
        <f t="shared" si="276"/>
        <v>6400</v>
      </c>
      <c r="I256" s="161">
        <f t="shared" si="276"/>
        <v>6400</v>
      </c>
      <c r="J256" s="161">
        <f t="shared" si="276"/>
        <v>6400</v>
      </c>
      <c r="K256" s="161">
        <f t="shared" si="276"/>
        <v>6400</v>
      </c>
      <c r="L256" s="161">
        <f t="shared" si="276"/>
        <v>6400</v>
      </c>
      <c r="M256" s="161">
        <f t="shared" si="276"/>
        <v>6400</v>
      </c>
      <c r="N256" s="161">
        <f t="shared" si="248"/>
        <v>76800</v>
      </c>
    </row>
    <row r="257" spans="1:14" x14ac:dyDescent="0.2">
      <c r="A257" s="50">
        <f t="shared" si="268"/>
        <v>0</v>
      </c>
      <c r="B257" s="161">
        <f t="shared" si="268"/>
        <v>0</v>
      </c>
      <c r="C257" s="161">
        <f t="shared" ref="C257:M257" si="277">B257</f>
        <v>0</v>
      </c>
      <c r="D257" s="161">
        <f t="shared" si="277"/>
        <v>0</v>
      </c>
      <c r="E257" s="161">
        <f t="shared" si="277"/>
        <v>0</v>
      </c>
      <c r="F257" s="161">
        <f t="shared" si="277"/>
        <v>0</v>
      </c>
      <c r="G257" s="161">
        <f t="shared" si="277"/>
        <v>0</v>
      </c>
      <c r="H257" s="161">
        <f t="shared" si="277"/>
        <v>0</v>
      </c>
      <c r="I257" s="161">
        <f t="shared" si="277"/>
        <v>0</v>
      </c>
      <c r="J257" s="161">
        <f t="shared" si="277"/>
        <v>0</v>
      </c>
      <c r="K257" s="161">
        <f t="shared" si="277"/>
        <v>0</v>
      </c>
      <c r="L257" s="161">
        <f t="shared" si="277"/>
        <v>0</v>
      </c>
      <c r="M257" s="161">
        <f t="shared" si="277"/>
        <v>0</v>
      </c>
      <c r="N257" s="161">
        <f t="shared" si="248"/>
        <v>0</v>
      </c>
    </row>
    <row r="258" spans="1:14" x14ac:dyDescent="0.2">
      <c r="A258" s="50">
        <f t="shared" si="268"/>
        <v>0</v>
      </c>
      <c r="B258" s="161">
        <f t="shared" si="268"/>
        <v>0</v>
      </c>
      <c r="C258" s="161">
        <f t="shared" ref="C258:M258" si="278">B258</f>
        <v>0</v>
      </c>
      <c r="D258" s="161">
        <f t="shared" si="278"/>
        <v>0</v>
      </c>
      <c r="E258" s="161">
        <f t="shared" si="278"/>
        <v>0</v>
      </c>
      <c r="F258" s="161">
        <f t="shared" si="278"/>
        <v>0</v>
      </c>
      <c r="G258" s="161">
        <f t="shared" si="278"/>
        <v>0</v>
      </c>
      <c r="H258" s="161">
        <f t="shared" si="278"/>
        <v>0</v>
      </c>
      <c r="I258" s="161">
        <f t="shared" si="278"/>
        <v>0</v>
      </c>
      <c r="J258" s="161">
        <f t="shared" si="278"/>
        <v>0</v>
      </c>
      <c r="K258" s="161">
        <f t="shared" si="278"/>
        <v>0</v>
      </c>
      <c r="L258" s="161">
        <f t="shared" si="278"/>
        <v>0</v>
      </c>
      <c r="M258" s="161">
        <f t="shared" si="278"/>
        <v>0</v>
      </c>
      <c r="N258" s="161">
        <f t="shared" si="248"/>
        <v>0</v>
      </c>
    </row>
    <row r="259" spans="1:14" x14ac:dyDescent="0.2">
      <c r="A259" s="50">
        <f t="shared" si="268"/>
        <v>0</v>
      </c>
      <c r="B259" s="161">
        <f t="shared" si="268"/>
        <v>0</v>
      </c>
      <c r="C259" s="161">
        <f t="shared" ref="C259:M259" si="279">B259</f>
        <v>0</v>
      </c>
      <c r="D259" s="161">
        <f t="shared" si="279"/>
        <v>0</v>
      </c>
      <c r="E259" s="161">
        <f t="shared" si="279"/>
        <v>0</v>
      </c>
      <c r="F259" s="161">
        <f t="shared" si="279"/>
        <v>0</v>
      </c>
      <c r="G259" s="161">
        <f t="shared" si="279"/>
        <v>0</v>
      </c>
      <c r="H259" s="161">
        <f t="shared" si="279"/>
        <v>0</v>
      </c>
      <c r="I259" s="161">
        <f t="shared" si="279"/>
        <v>0</v>
      </c>
      <c r="J259" s="161">
        <f t="shared" si="279"/>
        <v>0</v>
      </c>
      <c r="K259" s="161">
        <f t="shared" si="279"/>
        <v>0</v>
      </c>
      <c r="L259" s="161">
        <f t="shared" si="279"/>
        <v>0</v>
      </c>
      <c r="M259" s="161">
        <f t="shared" si="279"/>
        <v>0</v>
      </c>
      <c r="N259" s="161">
        <f t="shared" si="248"/>
        <v>0</v>
      </c>
    </row>
    <row r="260" spans="1:14" x14ac:dyDescent="0.2">
      <c r="A260" s="50" t="str">
        <f t="shared" si="268"/>
        <v>Mantenimiento de equipo</v>
      </c>
      <c r="B260" s="161">
        <f t="shared" si="268"/>
        <v>300</v>
      </c>
      <c r="C260" s="161">
        <f t="shared" ref="C260:M260" si="280">B260</f>
        <v>300</v>
      </c>
      <c r="D260" s="161">
        <f t="shared" si="280"/>
        <v>300</v>
      </c>
      <c r="E260" s="161">
        <f t="shared" si="280"/>
        <v>300</v>
      </c>
      <c r="F260" s="161">
        <f t="shared" si="280"/>
        <v>300</v>
      </c>
      <c r="G260" s="161">
        <f t="shared" si="280"/>
        <v>300</v>
      </c>
      <c r="H260" s="161">
        <f t="shared" si="280"/>
        <v>300</v>
      </c>
      <c r="I260" s="161">
        <f t="shared" si="280"/>
        <v>300</v>
      </c>
      <c r="J260" s="161">
        <f t="shared" si="280"/>
        <v>300</v>
      </c>
      <c r="K260" s="161">
        <f t="shared" si="280"/>
        <v>300</v>
      </c>
      <c r="L260" s="161">
        <f t="shared" si="280"/>
        <v>300</v>
      </c>
      <c r="M260" s="161">
        <f t="shared" si="280"/>
        <v>300</v>
      </c>
      <c r="N260" s="161">
        <f t="shared" si="248"/>
        <v>3600</v>
      </c>
    </row>
    <row r="261" spans="1:14" x14ac:dyDescent="0.2">
      <c r="A261" s="50" t="str">
        <f t="shared" si="268"/>
        <v>Sustitución de mobiliario</v>
      </c>
      <c r="B261" s="161">
        <f t="shared" si="268"/>
        <v>200</v>
      </c>
      <c r="C261" s="161">
        <f t="shared" ref="C261:M261" si="281">B261</f>
        <v>200</v>
      </c>
      <c r="D261" s="161">
        <f t="shared" si="281"/>
        <v>200</v>
      </c>
      <c r="E261" s="161">
        <f t="shared" si="281"/>
        <v>200</v>
      </c>
      <c r="F261" s="161">
        <f t="shared" si="281"/>
        <v>200</v>
      </c>
      <c r="G261" s="161">
        <f t="shared" si="281"/>
        <v>200</v>
      </c>
      <c r="H261" s="161">
        <f t="shared" si="281"/>
        <v>200</v>
      </c>
      <c r="I261" s="161">
        <f t="shared" si="281"/>
        <v>200</v>
      </c>
      <c r="J261" s="161">
        <f t="shared" si="281"/>
        <v>200</v>
      </c>
      <c r="K261" s="161">
        <f t="shared" si="281"/>
        <v>200</v>
      </c>
      <c r="L261" s="161">
        <f t="shared" si="281"/>
        <v>200</v>
      </c>
      <c r="M261" s="161">
        <f t="shared" si="281"/>
        <v>200</v>
      </c>
      <c r="N261" s="161">
        <f t="shared" si="248"/>
        <v>2400</v>
      </c>
    </row>
    <row r="262" spans="1:14" x14ac:dyDescent="0.2">
      <c r="A262" s="50" t="str">
        <f t="shared" si="268"/>
        <v>Herramientas menores</v>
      </c>
      <c r="B262" s="161">
        <f t="shared" si="268"/>
        <v>250</v>
      </c>
      <c r="C262" s="161">
        <f t="shared" ref="C262:M262" si="282">B262</f>
        <v>250</v>
      </c>
      <c r="D262" s="161">
        <f t="shared" si="282"/>
        <v>250</v>
      </c>
      <c r="E262" s="161">
        <f t="shared" si="282"/>
        <v>250</v>
      </c>
      <c r="F262" s="161">
        <f t="shared" si="282"/>
        <v>250</v>
      </c>
      <c r="G262" s="161">
        <f t="shared" si="282"/>
        <v>250</v>
      </c>
      <c r="H262" s="161">
        <f t="shared" si="282"/>
        <v>250</v>
      </c>
      <c r="I262" s="161">
        <f t="shared" si="282"/>
        <v>250</v>
      </c>
      <c r="J262" s="161">
        <f t="shared" si="282"/>
        <v>250</v>
      </c>
      <c r="K262" s="161">
        <f t="shared" si="282"/>
        <v>250</v>
      </c>
      <c r="L262" s="161">
        <f t="shared" si="282"/>
        <v>250</v>
      </c>
      <c r="M262" s="161">
        <f t="shared" si="282"/>
        <v>250</v>
      </c>
      <c r="N262" s="161">
        <f t="shared" si="248"/>
        <v>3000</v>
      </c>
    </row>
    <row r="263" spans="1:14" x14ac:dyDescent="0.2">
      <c r="A263" s="50" t="str">
        <f t="shared" si="268"/>
        <v>Pintura / remodelaciones</v>
      </c>
      <c r="B263" s="161">
        <f t="shared" si="268"/>
        <v>150</v>
      </c>
      <c r="C263" s="161">
        <f t="shared" ref="C263:M263" si="283">B263</f>
        <v>150</v>
      </c>
      <c r="D263" s="161">
        <f t="shared" si="283"/>
        <v>150</v>
      </c>
      <c r="E263" s="161">
        <f t="shared" si="283"/>
        <v>150</v>
      </c>
      <c r="F263" s="161">
        <f t="shared" si="283"/>
        <v>150</v>
      </c>
      <c r="G263" s="161">
        <f t="shared" si="283"/>
        <v>150</v>
      </c>
      <c r="H263" s="161">
        <f t="shared" si="283"/>
        <v>150</v>
      </c>
      <c r="I263" s="161">
        <f t="shared" si="283"/>
        <v>150</v>
      </c>
      <c r="J263" s="161">
        <f t="shared" si="283"/>
        <v>150</v>
      </c>
      <c r="K263" s="161">
        <f t="shared" si="283"/>
        <v>150</v>
      </c>
      <c r="L263" s="161">
        <f t="shared" si="283"/>
        <v>150</v>
      </c>
      <c r="M263" s="161">
        <f t="shared" si="283"/>
        <v>150</v>
      </c>
      <c r="N263" s="161">
        <f t="shared" si="248"/>
        <v>1800</v>
      </c>
    </row>
    <row r="264" spans="1:14" x14ac:dyDescent="0.2">
      <c r="A264" s="50" t="str">
        <f t="shared" si="268"/>
        <v>Repuestos / accesorios</v>
      </c>
      <c r="B264" s="161">
        <f t="shared" si="268"/>
        <v>100</v>
      </c>
      <c r="C264" s="161">
        <f t="shared" ref="C264:M264" si="284">B264</f>
        <v>100</v>
      </c>
      <c r="D264" s="161">
        <f t="shared" si="284"/>
        <v>100</v>
      </c>
      <c r="E264" s="161">
        <f t="shared" si="284"/>
        <v>100</v>
      </c>
      <c r="F264" s="161">
        <f t="shared" si="284"/>
        <v>100</v>
      </c>
      <c r="G264" s="161">
        <f t="shared" si="284"/>
        <v>100</v>
      </c>
      <c r="H264" s="161">
        <f t="shared" si="284"/>
        <v>100</v>
      </c>
      <c r="I264" s="161">
        <f t="shared" si="284"/>
        <v>100</v>
      </c>
      <c r="J264" s="161">
        <f t="shared" si="284"/>
        <v>100</v>
      </c>
      <c r="K264" s="161">
        <f t="shared" si="284"/>
        <v>100</v>
      </c>
      <c r="L264" s="161">
        <f t="shared" si="284"/>
        <v>100</v>
      </c>
      <c r="M264" s="161">
        <f t="shared" si="284"/>
        <v>100</v>
      </c>
      <c r="N264" s="161">
        <f t="shared" si="248"/>
        <v>1200</v>
      </c>
    </row>
    <row r="265" spans="1:14" x14ac:dyDescent="0.2">
      <c r="A265" s="64" t="s">
        <v>107</v>
      </c>
      <c r="B265" s="65">
        <f t="shared" ref="B265:N265" si="285">+B228+B216</f>
        <v>432403.04377674666</v>
      </c>
      <c r="C265" s="65">
        <f t="shared" si="285"/>
        <v>436902.65553036158</v>
      </c>
      <c r="D265" s="65">
        <f t="shared" si="285"/>
        <v>432313.0515416743</v>
      </c>
      <c r="E265" s="65">
        <f t="shared" si="285"/>
        <v>439059.7694050445</v>
      </c>
      <c r="F265" s="65">
        <f t="shared" si="285"/>
        <v>443692.5156712255</v>
      </c>
      <c r="G265" s="65">
        <f t="shared" si="285"/>
        <v>436604.41388396872</v>
      </c>
      <c r="H265" s="65">
        <f t="shared" si="285"/>
        <v>434312.59430608898</v>
      </c>
      <c r="I265" s="65">
        <f t="shared" si="285"/>
        <v>438850.39707029075</v>
      </c>
      <c r="J265" s="65">
        <f t="shared" si="285"/>
        <v>434221.83825080493</v>
      </c>
      <c r="K265" s="65">
        <f t="shared" si="285"/>
        <v>431953.84442925686</v>
      </c>
      <c r="L265" s="65">
        <f t="shared" si="285"/>
        <v>436444.47219592205</v>
      </c>
      <c r="M265" s="65">
        <f t="shared" si="285"/>
        <v>441024.91251792049</v>
      </c>
      <c r="N265" s="65">
        <f t="shared" si="285"/>
        <v>5237783.5085793044</v>
      </c>
    </row>
    <row r="348" spans="6:6" x14ac:dyDescent="0.2">
      <c r="F348" s="68"/>
    </row>
    <row r="349" spans="6:6" x14ac:dyDescent="0.2">
      <c r="F349" s="68"/>
    </row>
    <row r="350" spans="6:6" x14ac:dyDescent="0.2">
      <c r="F350" s="68"/>
    </row>
    <row r="351" spans="6:6" x14ac:dyDescent="0.2">
      <c r="F351" s="68"/>
    </row>
    <row r="352" spans="6:6" x14ac:dyDescent="0.2">
      <c r="F352" s="68"/>
    </row>
    <row r="353" spans="6:6" x14ac:dyDescent="0.2">
      <c r="F353" s="68"/>
    </row>
    <row r="354" spans="6:6" x14ac:dyDescent="0.2">
      <c r="F354" s="68"/>
    </row>
    <row r="355" spans="6:6" x14ac:dyDescent="0.2">
      <c r="F355" s="68"/>
    </row>
    <row r="356" spans="6:6" x14ac:dyDescent="0.2">
      <c r="F356" s="68"/>
    </row>
    <row r="357" spans="6:6" x14ac:dyDescent="0.2">
      <c r="F357" s="68"/>
    </row>
    <row r="358" spans="6:6" x14ac:dyDescent="0.2">
      <c r="F358" s="68"/>
    </row>
    <row r="359" spans="6:6" ht="15.75" x14ac:dyDescent="0.25">
      <c r="F359" s="69"/>
    </row>
  </sheetData>
  <mergeCells count="5">
    <mergeCell ref="A2:N2"/>
    <mergeCell ref="A55:N55"/>
    <mergeCell ref="A108:N108"/>
    <mergeCell ref="A161:N161"/>
    <mergeCell ref="A214:N214"/>
  </mergeCells>
  <pageMargins left="0.75" right="0.75" top="1" bottom="1" header="0" footer="0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37CB-BC66-4B75-8675-8357F265EF87}">
  <dimension ref="A2:AA104"/>
  <sheetViews>
    <sheetView zoomScale="46" zoomScaleNormal="40" workbookViewId="0">
      <selection activeCell="U38" sqref="U38"/>
    </sheetView>
  </sheetViews>
  <sheetFormatPr baseColWidth="10" defaultColWidth="11.42578125" defaultRowHeight="12.75" x14ac:dyDescent="0.2"/>
  <cols>
    <col min="1" max="1" width="58.7109375" customWidth="1"/>
    <col min="2" max="2" width="18.7109375" bestFit="1" customWidth="1"/>
    <col min="3" max="3" width="17.140625" customWidth="1"/>
    <col min="4" max="6" width="16.85546875" bestFit="1" customWidth="1"/>
    <col min="7" max="7" width="19.28515625" customWidth="1"/>
    <col min="8" max="8" width="18.5703125" customWidth="1"/>
    <col min="9" max="10" width="19" customWidth="1"/>
    <col min="11" max="11" width="16.7109375" customWidth="1"/>
    <col min="12" max="12" width="16.42578125" customWidth="1"/>
    <col min="13" max="13" width="16.85546875" bestFit="1" customWidth="1"/>
    <col min="14" max="14" width="18.28515625" bestFit="1" customWidth="1"/>
    <col min="16" max="16" width="11.85546875" bestFit="1" customWidth="1"/>
    <col min="17" max="18" width="9.5703125" bestFit="1" customWidth="1"/>
    <col min="19" max="19" width="10.5703125" bestFit="1" customWidth="1"/>
    <col min="20" max="20" width="12.5703125" bestFit="1" customWidth="1"/>
    <col min="21" max="21" width="14" bestFit="1" customWidth="1"/>
    <col min="23" max="23" width="23.7109375" bestFit="1" customWidth="1"/>
    <col min="24" max="24" width="13" bestFit="1" customWidth="1"/>
    <col min="26" max="27" width="13" bestFit="1" customWidth="1"/>
  </cols>
  <sheetData>
    <row r="2" spans="1:14" ht="18" x14ac:dyDescent="0.25">
      <c r="A2" s="39" t="s">
        <v>82</v>
      </c>
    </row>
    <row r="4" spans="1:14" ht="15.75" x14ac:dyDescent="0.25">
      <c r="A4" s="2" t="s">
        <v>14</v>
      </c>
      <c r="B4" s="2"/>
    </row>
    <row r="5" spans="1:14" ht="15.75" x14ac:dyDescent="0.25">
      <c r="A5" s="2" t="s">
        <v>15</v>
      </c>
      <c r="B5" s="2"/>
    </row>
    <row r="6" spans="1:14" ht="15.75" x14ac:dyDescent="0.25">
      <c r="A6" s="2" t="s">
        <v>16</v>
      </c>
      <c r="B6" s="2"/>
    </row>
    <row r="7" spans="1:14" ht="16.5" thickBot="1" x14ac:dyDescent="0.3">
      <c r="A7" s="2"/>
      <c r="B7" s="2"/>
    </row>
    <row r="8" spans="1:14" ht="15.75" x14ac:dyDescent="0.25">
      <c r="A8" s="542" t="s">
        <v>83</v>
      </c>
      <c r="B8" s="666" t="s">
        <v>84</v>
      </c>
      <c r="C8" s="666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666"/>
    </row>
    <row r="9" spans="1:14" ht="15.75" x14ac:dyDescent="0.25">
      <c r="A9" s="73" t="s">
        <v>85</v>
      </c>
      <c r="B9" s="74">
        <v>1</v>
      </c>
      <c r="C9" s="74">
        <v>2</v>
      </c>
      <c r="D9" s="74">
        <v>3</v>
      </c>
      <c r="E9" s="74">
        <v>4</v>
      </c>
      <c r="F9" s="74">
        <v>5</v>
      </c>
      <c r="G9" s="74">
        <v>6</v>
      </c>
      <c r="H9" s="74">
        <v>7</v>
      </c>
      <c r="I9" s="74">
        <v>8</v>
      </c>
      <c r="J9" s="74">
        <v>9</v>
      </c>
      <c r="K9" s="74">
        <v>10</v>
      </c>
      <c r="L9" s="74">
        <v>11</v>
      </c>
      <c r="M9" s="74">
        <v>12</v>
      </c>
      <c r="N9" s="74" t="s">
        <v>26</v>
      </c>
    </row>
    <row r="10" spans="1:14" ht="15.75" x14ac:dyDescent="0.25">
      <c r="A10" s="71" t="s">
        <v>246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74" t="s">
        <v>86</v>
      </c>
    </row>
    <row r="11" spans="1:14" ht="15" x14ac:dyDescent="0.2">
      <c r="A11" s="75" t="s">
        <v>239</v>
      </c>
      <c r="B11" s="76">
        <f>(16*(400*30))</f>
        <v>192000</v>
      </c>
      <c r="C11" s="76">
        <f>16*(400*30)</f>
        <v>192000</v>
      </c>
      <c r="D11" s="76">
        <f>16*(400*30)</f>
        <v>192000</v>
      </c>
      <c r="E11" s="76">
        <f>16*(412*30)</f>
        <v>197760</v>
      </c>
      <c r="F11" s="76">
        <f t="shared" ref="F11" si="0">16*(412*30)</f>
        <v>197760</v>
      </c>
      <c r="G11" s="76">
        <f>16*(412*30)</f>
        <v>197760</v>
      </c>
      <c r="H11" s="76">
        <f>16*(425*30)</f>
        <v>204000</v>
      </c>
      <c r="I11" s="76">
        <f>16*(425*30)</f>
        <v>204000</v>
      </c>
      <c r="J11" s="76">
        <f t="shared" ref="J11" si="1">16*(425*30)</f>
        <v>204000</v>
      </c>
      <c r="K11" s="76">
        <f>16*(438*30)</f>
        <v>210240</v>
      </c>
      <c r="L11" s="76">
        <f t="shared" ref="L11:M11" si="2">16*(438*30)</f>
        <v>210240</v>
      </c>
      <c r="M11" s="76">
        <f t="shared" si="2"/>
        <v>210240</v>
      </c>
      <c r="N11" s="76">
        <f>SUM(B11:M11)</f>
        <v>2412000</v>
      </c>
    </row>
    <row r="12" spans="1:14" ht="15" x14ac:dyDescent="0.2">
      <c r="A12" s="75" t="s">
        <v>187</v>
      </c>
      <c r="B12" s="76">
        <f>100*(130*30)</f>
        <v>390000</v>
      </c>
      <c r="C12" s="76">
        <f t="shared" ref="C12:D12" si="3">100*(130*30)</f>
        <v>390000</v>
      </c>
      <c r="D12" s="76">
        <f t="shared" si="3"/>
        <v>390000</v>
      </c>
      <c r="E12" s="76">
        <f t="shared" ref="E12:G12" si="4">100*(134*30)</f>
        <v>402000</v>
      </c>
      <c r="F12" s="76">
        <f t="shared" si="4"/>
        <v>402000</v>
      </c>
      <c r="G12" s="76">
        <f t="shared" si="4"/>
        <v>402000</v>
      </c>
      <c r="H12" s="76">
        <f t="shared" ref="H12:J12" si="5">100*(138*30)</f>
        <v>414000</v>
      </c>
      <c r="I12" s="76">
        <f t="shared" si="5"/>
        <v>414000</v>
      </c>
      <c r="J12" s="76">
        <f t="shared" si="5"/>
        <v>414000</v>
      </c>
      <c r="K12" s="76">
        <f>100*(143*30)</f>
        <v>429000</v>
      </c>
      <c r="L12" s="76">
        <f t="shared" ref="L12:M12" si="6">100*(143*30)</f>
        <v>429000</v>
      </c>
      <c r="M12" s="76">
        <f t="shared" si="6"/>
        <v>429000</v>
      </c>
      <c r="N12" s="76">
        <f t="shared" ref="N12:N24" si="7">SUM(B12:M12)</f>
        <v>4905000</v>
      </c>
    </row>
    <row r="13" spans="1:14" ht="15" x14ac:dyDescent="0.2">
      <c r="A13" s="75" t="s">
        <v>188</v>
      </c>
      <c r="B13" s="76">
        <f>220*(50*30)</f>
        <v>330000</v>
      </c>
      <c r="C13" s="76">
        <f t="shared" ref="C13:D13" si="8">220*(50*30)</f>
        <v>330000</v>
      </c>
      <c r="D13" s="76">
        <f t="shared" si="8"/>
        <v>330000</v>
      </c>
      <c r="E13" s="76">
        <f>220*(52*30)</f>
        <v>343200</v>
      </c>
      <c r="F13" s="76">
        <f t="shared" ref="F13:G13" si="9">220*(52*30)</f>
        <v>343200</v>
      </c>
      <c r="G13" s="76">
        <f t="shared" si="9"/>
        <v>343200</v>
      </c>
      <c r="H13" s="76">
        <f>(220)*(54*30)</f>
        <v>356400</v>
      </c>
      <c r="I13" s="76">
        <f t="shared" ref="I13:J13" si="10">(220)*(54*30)</f>
        <v>356400</v>
      </c>
      <c r="J13" s="76">
        <f t="shared" si="10"/>
        <v>356400</v>
      </c>
      <c r="K13" s="76">
        <f>(220)*(56*30)</f>
        <v>369600</v>
      </c>
      <c r="L13" s="76">
        <f t="shared" ref="L13:M13" si="11">(220)*(56*30)</f>
        <v>369600</v>
      </c>
      <c r="M13" s="76">
        <f t="shared" si="11"/>
        <v>369600</v>
      </c>
      <c r="N13" s="76">
        <f t="shared" si="7"/>
        <v>4197600</v>
      </c>
    </row>
    <row r="14" spans="1:14" ht="15" x14ac:dyDescent="0.2">
      <c r="A14" s="56" t="s">
        <v>268</v>
      </c>
      <c r="B14" s="76">
        <f>(45)*(280*4)</f>
        <v>50400</v>
      </c>
      <c r="C14" s="76">
        <f t="shared" ref="C14:D14" si="12">(45)*(280*4)</f>
        <v>50400</v>
      </c>
      <c r="D14" s="76">
        <f t="shared" si="12"/>
        <v>50400</v>
      </c>
      <c r="E14" s="76">
        <f>(45)*(288*4)</f>
        <v>51840</v>
      </c>
      <c r="F14" s="76">
        <f t="shared" ref="F14:G14" si="13">(45)*(288*4)</f>
        <v>51840</v>
      </c>
      <c r="G14" s="76">
        <f t="shared" si="13"/>
        <v>51840</v>
      </c>
      <c r="H14" s="76">
        <f>(45)*(295*4)</f>
        <v>53100</v>
      </c>
      <c r="I14" s="76">
        <f t="shared" ref="I14:J14" si="14">(45)*(295*4)</f>
        <v>53100</v>
      </c>
      <c r="J14" s="76">
        <f t="shared" si="14"/>
        <v>53100</v>
      </c>
      <c r="K14" s="76">
        <f>(45)*(303*4)</f>
        <v>54540</v>
      </c>
      <c r="L14" s="76">
        <f t="shared" ref="L14:M14" si="15">(45)*(303*4)</f>
        <v>54540</v>
      </c>
      <c r="M14" s="76">
        <f t="shared" si="15"/>
        <v>54540</v>
      </c>
      <c r="N14" s="76">
        <f t="shared" si="7"/>
        <v>629640</v>
      </c>
    </row>
    <row r="15" spans="1:14" ht="15" x14ac:dyDescent="0.2">
      <c r="A15" s="56" t="s">
        <v>267</v>
      </c>
      <c r="B15" s="76">
        <f>(20)*(5*30)</f>
        <v>3000</v>
      </c>
      <c r="C15" s="76">
        <f t="shared" ref="C15:M15" si="16">(20)*(5*30)</f>
        <v>3000</v>
      </c>
      <c r="D15" s="76">
        <f t="shared" si="16"/>
        <v>3000</v>
      </c>
      <c r="E15" s="76">
        <f t="shared" si="16"/>
        <v>3000</v>
      </c>
      <c r="F15" s="76">
        <f t="shared" si="16"/>
        <v>3000</v>
      </c>
      <c r="G15" s="76">
        <f t="shared" si="16"/>
        <v>3000</v>
      </c>
      <c r="H15" s="76">
        <f t="shared" si="16"/>
        <v>3000</v>
      </c>
      <c r="I15" s="76">
        <f t="shared" si="16"/>
        <v>3000</v>
      </c>
      <c r="J15" s="76">
        <f t="shared" si="16"/>
        <v>3000</v>
      </c>
      <c r="K15" s="76">
        <f t="shared" si="16"/>
        <v>3000</v>
      </c>
      <c r="L15" s="76">
        <f t="shared" si="16"/>
        <v>3000</v>
      </c>
      <c r="M15" s="76">
        <f t="shared" si="16"/>
        <v>3000</v>
      </c>
      <c r="N15" s="76">
        <f t="shared" si="7"/>
        <v>36000</v>
      </c>
    </row>
    <row r="16" spans="1:14" ht="15" x14ac:dyDescent="0.2">
      <c r="A16" s="56" t="s">
        <v>266</v>
      </c>
      <c r="B16" s="76">
        <f>(75)*(15*30)</f>
        <v>33750</v>
      </c>
      <c r="C16" s="76">
        <f t="shared" ref="C16:G16" si="17">(75)*(15*30)</f>
        <v>33750</v>
      </c>
      <c r="D16" s="76">
        <f t="shared" si="17"/>
        <v>33750</v>
      </c>
      <c r="E16" s="76">
        <f t="shared" si="17"/>
        <v>33750</v>
      </c>
      <c r="F16" s="76">
        <f t="shared" si="17"/>
        <v>33750</v>
      </c>
      <c r="G16" s="76">
        <f t="shared" si="17"/>
        <v>33750</v>
      </c>
      <c r="H16" s="76">
        <f>(75)*(16*30)</f>
        <v>36000</v>
      </c>
      <c r="I16" s="76">
        <f t="shared" ref="I16:M16" si="18">(75)*(16*30)</f>
        <v>36000</v>
      </c>
      <c r="J16" s="76">
        <f t="shared" si="18"/>
        <v>36000</v>
      </c>
      <c r="K16" s="76">
        <f t="shared" si="18"/>
        <v>36000</v>
      </c>
      <c r="L16" s="76">
        <f t="shared" si="18"/>
        <v>36000</v>
      </c>
      <c r="M16" s="76">
        <f t="shared" si="18"/>
        <v>36000</v>
      </c>
      <c r="N16" s="76">
        <f t="shared" si="7"/>
        <v>418500</v>
      </c>
    </row>
    <row r="17" spans="1:27" ht="15" x14ac:dyDescent="0.2">
      <c r="A17" s="56" t="s">
        <v>263</v>
      </c>
      <c r="B17" s="76">
        <f>(75)*(10*30)</f>
        <v>22500</v>
      </c>
      <c r="C17" s="76">
        <f t="shared" ref="C17:J17" si="19">(75)*(10*30)</f>
        <v>22500</v>
      </c>
      <c r="D17" s="76">
        <f t="shared" si="19"/>
        <v>22500</v>
      </c>
      <c r="E17" s="76">
        <f t="shared" si="19"/>
        <v>22500</v>
      </c>
      <c r="F17" s="76">
        <f t="shared" si="19"/>
        <v>22500</v>
      </c>
      <c r="G17" s="76">
        <f t="shared" si="19"/>
        <v>22500</v>
      </c>
      <c r="H17" s="76">
        <f t="shared" si="19"/>
        <v>22500</v>
      </c>
      <c r="I17" s="76">
        <f t="shared" si="19"/>
        <v>22500</v>
      </c>
      <c r="J17" s="76">
        <f t="shared" si="19"/>
        <v>22500</v>
      </c>
      <c r="K17" s="76">
        <f>(75)*(11*30)</f>
        <v>24750</v>
      </c>
      <c r="L17" s="76">
        <f t="shared" ref="L17:M17" si="20">(75)*(11*30)</f>
        <v>24750</v>
      </c>
      <c r="M17" s="76">
        <f t="shared" si="20"/>
        <v>24750</v>
      </c>
      <c r="N17" s="76">
        <f t="shared" si="7"/>
        <v>276750</v>
      </c>
    </row>
    <row r="18" spans="1:27" ht="15" x14ac:dyDescent="0.2">
      <c r="A18" s="56" t="s">
        <v>262</v>
      </c>
      <c r="B18" s="76">
        <f>(280)*(5*30)</f>
        <v>42000</v>
      </c>
      <c r="C18" s="76">
        <f t="shared" ref="C18:M18" si="21">(280)*(5*30)</f>
        <v>42000</v>
      </c>
      <c r="D18" s="76">
        <f t="shared" si="21"/>
        <v>42000</v>
      </c>
      <c r="E18" s="76">
        <f t="shared" si="21"/>
        <v>42000</v>
      </c>
      <c r="F18" s="76">
        <f t="shared" si="21"/>
        <v>42000</v>
      </c>
      <c r="G18" s="76">
        <f t="shared" si="21"/>
        <v>42000</v>
      </c>
      <c r="H18" s="76">
        <f t="shared" si="21"/>
        <v>42000</v>
      </c>
      <c r="I18" s="76">
        <f t="shared" si="21"/>
        <v>42000</v>
      </c>
      <c r="J18" s="76">
        <f t="shared" si="21"/>
        <v>42000</v>
      </c>
      <c r="K18" s="76">
        <f t="shared" si="21"/>
        <v>42000</v>
      </c>
      <c r="L18" s="76">
        <f t="shared" si="21"/>
        <v>42000</v>
      </c>
      <c r="M18" s="76">
        <f t="shared" si="21"/>
        <v>42000</v>
      </c>
      <c r="N18" s="76">
        <f t="shared" si="7"/>
        <v>504000</v>
      </c>
    </row>
    <row r="19" spans="1:27" ht="15" x14ac:dyDescent="0.2">
      <c r="A19" s="56" t="s">
        <v>261</v>
      </c>
      <c r="B19" s="76">
        <f>(240)*(5*30)</f>
        <v>36000</v>
      </c>
      <c r="C19" s="76">
        <f t="shared" ref="C19:M19" si="22">(240)*(5*30)</f>
        <v>36000</v>
      </c>
      <c r="D19" s="76">
        <f t="shared" si="22"/>
        <v>36000</v>
      </c>
      <c r="E19" s="76">
        <f t="shared" si="22"/>
        <v>36000</v>
      </c>
      <c r="F19" s="76">
        <f t="shared" si="22"/>
        <v>36000</v>
      </c>
      <c r="G19" s="76">
        <f t="shared" si="22"/>
        <v>36000</v>
      </c>
      <c r="H19" s="76">
        <f t="shared" si="22"/>
        <v>36000</v>
      </c>
      <c r="I19" s="76">
        <f t="shared" si="22"/>
        <v>36000</v>
      </c>
      <c r="J19" s="76">
        <f t="shared" si="22"/>
        <v>36000</v>
      </c>
      <c r="K19" s="76">
        <f t="shared" si="22"/>
        <v>36000</v>
      </c>
      <c r="L19" s="76">
        <f t="shared" si="22"/>
        <v>36000</v>
      </c>
      <c r="M19" s="76">
        <f t="shared" si="22"/>
        <v>36000</v>
      </c>
      <c r="N19" s="76">
        <f t="shared" si="7"/>
        <v>432000</v>
      </c>
    </row>
    <row r="20" spans="1:27" ht="15" x14ac:dyDescent="0.2">
      <c r="A20" s="186" t="s">
        <v>265</v>
      </c>
      <c r="B20" s="76">
        <f>(16)*(50*30)</f>
        <v>24000</v>
      </c>
      <c r="C20" s="76">
        <f t="shared" ref="C20:D21" si="23">(16)*(50*30)</f>
        <v>24000</v>
      </c>
      <c r="D20" s="76">
        <f t="shared" si="23"/>
        <v>24000</v>
      </c>
      <c r="E20" s="76">
        <f>(16)*(52*30)</f>
        <v>24960</v>
      </c>
      <c r="F20" s="76">
        <f t="shared" ref="F20:G21" si="24">(16)*(52*30)</f>
        <v>24960</v>
      </c>
      <c r="G20" s="76">
        <f t="shared" si="24"/>
        <v>24960</v>
      </c>
      <c r="H20" s="76">
        <f>(16)*(54*30)</f>
        <v>25920</v>
      </c>
      <c r="I20" s="76">
        <f t="shared" ref="I20:J21" si="25">(16)*(54*30)</f>
        <v>25920</v>
      </c>
      <c r="J20" s="76">
        <f t="shared" si="25"/>
        <v>25920</v>
      </c>
      <c r="K20" s="76">
        <f>(16)*(56*30)</f>
        <v>26880</v>
      </c>
      <c r="L20" s="76">
        <f t="shared" ref="L20:M21" si="26">(16)*(56*30)</f>
        <v>26880</v>
      </c>
      <c r="M20" s="76">
        <f t="shared" si="26"/>
        <v>26880</v>
      </c>
      <c r="N20" s="76">
        <f t="shared" si="7"/>
        <v>305280</v>
      </c>
    </row>
    <row r="21" spans="1:27" ht="15" x14ac:dyDescent="0.2">
      <c r="A21" s="185" t="s">
        <v>273</v>
      </c>
      <c r="B21" s="76">
        <f>(16)*(50*30)</f>
        <v>24000</v>
      </c>
      <c r="C21" s="76">
        <f t="shared" si="23"/>
        <v>24000</v>
      </c>
      <c r="D21" s="76">
        <f t="shared" si="23"/>
        <v>24000</v>
      </c>
      <c r="E21" s="76">
        <f>(16)*(52*30)</f>
        <v>24960</v>
      </c>
      <c r="F21" s="76">
        <f t="shared" si="24"/>
        <v>24960</v>
      </c>
      <c r="G21" s="76">
        <f t="shared" si="24"/>
        <v>24960</v>
      </c>
      <c r="H21" s="76">
        <f>(16)*(54*30)</f>
        <v>25920</v>
      </c>
      <c r="I21" s="76">
        <f t="shared" si="25"/>
        <v>25920</v>
      </c>
      <c r="J21" s="76">
        <f t="shared" si="25"/>
        <v>25920</v>
      </c>
      <c r="K21" s="76">
        <f>(16)*(56*30)</f>
        <v>26880</v>
      </c>
      <c r="L21" s="76">
        <f t="shared" si="26"/>
        <v>26880</v>
      </c>
      <c r="M21" s="76">
        <f t="shared" si="26"/>
        <v>26880</v>
      </c>
      <c r="N21" s="76">
        <f t="shared" si="7"/>
        <v>305280</v>
      </c>
    </row>
    <row r="22" spans="1:27" ht="15" x14ac:dyDescent="0.2">
      <c r="A22" s="185" t="s">
        <v>272</v>
      </c>
      <c r="B22" s="76">
        <f>(16)*(45*30)</f>
        <v>21600</v>
      </c>
      <c r="C22" s="76">
        <f t="shared" ref="C22:D22" si="27">(16)*(45*30)</f>
        <v>21600</v>
      </c>
      <c r="D22" s="76">
        <f t="shared" si="27"/>
        <v>21600</v>
      </c>
      <c r="E22" s="76">
        <f t="shared" ref="E22:G22" si="28">(16)*(47*30)</f>
        <v>22560</v>
      </c>
      <c r="F22" s="76">
        <f t="shared" si="28"/>
        <v>22560</v>
      </c>
      <c r="G22" s="76">
        <f t="shared" si="28"/>
        <v>22560</v>
      </c>
      <c r="H22" s="76">
        <f>(16)*(49*30)</f>
        <v>23520</v>
      </c>
      <c r="I22" s="76">
        <f t="shared" ref="I22:J22" si="29">(16)*(49*30)</f>
        <v>23520</v>
      </c>
      <c r="J22" s="76">
        <f t="shared" si="29"/>
        <v>23520</v>
      </c>
      <c r="K22" s="76">
        <f>(16)*(51*30)</f>
        <v>24480</v>
      </c>
      <c r="L22" s="76">
        <f t="shared" ref="L22:M22" si="30">(16)*(51*30)</f>
        <v>24480</v>
      </c>
      <c r="M22" s="76">
        <f t="shared" si="30"/>
        <v>24480</v>
      </c>
      <c r="N22" s="76">
        <f t="shared" si="7"/>
        <v>276480</v>
      </c>
    </row>
    <row r="23" spans="1:27" ht="15" x14ac:dyDescent="0.2">
      <c r="A23" s="185" t="s">
        <v>264</v>
      </c>
      <c r="B23" s="76">
        <f>(16)*(70*30)</f>
        <v>33600</v>
      </c>
      <c r="C23" s="76">
        <f t="shared" ref="C23:D23" si="31">(16)*(70*30)</f>
        <v>33600</v>
      </c>
      <c r="D23" s="76">
        <f t="shared" si="31"/>
        <v>33600</v>
      </c>
      <c r="E23" s="76">
        <f>(16)*(72*30)</f>
        <v>34560</v>
      </c>
      <c r="F23" s="76">
        <f t="shared" ref="F23:G23" si="32">(16)*(72*30)</f>
        <v>34560</v>
      </c>
      <c r="G23" s="76">
        <f t="shared" si="32"/>
        <v>34560</v>
      </c>
      <c r="H23" s="76">
        <f>(16)*(75*30)</f>
        <v>36000</v>
      </c>
      <c r="I23" s="76">
        <f>(16)*(75*30)</f>
        <v>36000</v>
      </c>
      <c r="J23" s="76">
        <f>(16)*(75*30)</f>
        <v>36000</v>
      </c>
      <c r="K23" s="76">
        <f>(16)*(78*30)</f>
        <v>37440</v>
      </c>
      <c r="L23" s="76">
        <f t="shared" ref="L23:M23" si="33">(16)*(78*30)</f>
        <v>37440</v>
      </c>
      <c r="M23" s="76">
        <f t="shared" si="33"/>
        <v>37440</v>
      </c>
      <c r="N23" s="76">
        <f t="shared" si="7"/>
        <v>424800</v>
      </c>
    </row>
    <row r="24" spans="1:27" ht="15.75" x14ac:dyDescent="0.25">
      <c r="A24" s="80" t="s">
        <v>87</v>
      </c>
      <c r="B24" s="57">
        <f>SUM(B11:B23)</f>
        <v>1202850</v>
      </c>
      <c r="C24" s="57">
        <f t="shared" ref="C24:M24" si="34">SUM(C11:C23)</f>
        <v>1202850</v>
      </c>
      <c r="D24" s="57">
        <f t="shared" si="34"/>
        <v>1202850</v>
      </c>
      <c r="E24" s="57">
        <f t="shared" si="34"/>
        <v>1239090</v>
      </c>
      <c r="F24" s="57">
        <f t="shared" si="34"/>
        <v>1239090</v>
      </c>
      <c r="G24" s="57">
        <f t="shared" si="34"/>
        <v>1239090</v>
      </c>
      <c r="H24" s="57">
        <f t="shared" si="34"/>
        <v>1278360</v>
      </c>
      <c r="I24" s="57">
        <f t="shared" si="34"/>
        <v>1278360</v>
      </c>
      <c r="J24" s="57">
        <f t="shared" si="34"/>
        <v>1278360</v>
      </c>
      <c r="K24" s="57">
        <f t="shared" si="34"/>
        <v>1320810</v>
      </c>
      <c r="L24" s="57">
        <f t="shared" si="34"/>
        <v>1320810</v>
      </c>
      <c r="M24" s="57">
        <f t="shared" si="34"/>
        <v>1320810</v>
      </c>
      <c r="N24" s="543">
        <f t="shared" si="7"/>
        <v>15123330</v>
      </c>
    </row>
    <row r="25" spans="1:27" ht="15" x14ac:dyDescent="0.2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</row>
    <row r="26" spans="1:27" ht="15" x14ac:dyDescent="0.2">
      <c r="A26" s="77"/>
      <c r="B26" s="77"/>
      <c r="F26" s="77"/>
      <c r="G26" s="77"/>
      <c r="H26" s="77"/>
      <c r="I26" s="77"/>
      <c r="J26" s="77"/>
      <c r="K26" s="77"/>
      <c r="L26" s="77"/>
      <c r="M26" s="77"/>
      <c r="N26" s="77"/>
    </row>
    <row r="27" spans="1:27" ht="15.75" thickBot="1" x14ac:dyDescent="0.25">
      <c r="A27" s="11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</row>
    <row r="28" spans="1:27" ht="15.75" x14ac:dyDescent="0.25">
      <c r="A28" s="542" t="s">
        <v>83</v>
      </c>
      <c r="B28" s="666" t="s">
        <v>88</v>
      </c>
      <c r="C28" s="666"/>
      <c r="D28" s="666"/>
      <c r="E28" s="666"/>
      <c r="F28" s="666"/>
      <c r="G28" s="666"/>
      <c r="H28" s="666"/>
      <c r="I28" s="666"/>
      <c r="J28" s="666"/>
      <c r="K28" s="666"/>
      <c r="L28" s="666"/>
      <c r="M28" s="666"/>
      <c r="N28" s="666"/>
    </row>
    <row r="29" spans="1:27" ht="15.75" x14ac:dyDescent="0.25">
      <c r="A29" s="73" t="s">
        <v>85</v>
      </c>
      <c r="B29" s="74">
        <v>1</v>
      </c>
      <c r="C29" s="74">
        <v>2</v>
      </c>
      <c r="D29" s="74">
        <v>3</v>
      </c>
      <c r="E29" s="74">
        <v>4</v>
      </c>
      <c r="F29" s="74">
        <v>5</v>
      </c>
      <c r="G29" s="74">
        <v>6</v>
      </c>
      <c r="H29" s="74">
        <v>7</v>
      </c>
      <c r="I29" s="74">
        <v>8</v>
      </c>
      <c r="J29" s="74">
        <v>9</v>
      </c>
      <c r="K29" s="74">
        <v>10</v>
      </c>
      <c r="L29" s="74">
        <v>11</v>
      </c>
      <c r="M29" s="74">
        <v>12</v>
      </c>
      <c r="N29" s="74" t="s">
        <v>26</v>
      </c>
      <c r="W29" s="272"/>
      <c r="X29" s="272"/>
      <c r="Y29" s="272"/>
      <c r="Z29" s="272"/>
      <c r="AA29" s="272"/>
    </row>
    <row r="30" spans="1:27" ht="15.75" x14ac:dyDescent="0.25">
      <c r="A30" s="71" t="s">
        <v>246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74" t="s">
        <v>86</v>
      </c>
    </row>
    <row r="31" spans="1:27" ht="15" x14ac:dyDescent="0.2">
      <c r="A31" s="75" t="s">
        <v>239</v>
      </c>
      <c r="B31" s="76">
        <f t="shared" ref="B31:M31" si="35">$Q$69*(438*30)</f>
        <v>229161.60000000001</v>
      </c>
      <c r="C31" s="76">
        <f t="shared" si="35"/>
        <v>229161.60000000001</v>
      </c>
      <c r="D31" s="76">
        <f t="shared" si="35"/>
        <v>229161.60000000001</v>
      </c>
      <c r="E31" s="76">
        <f t="shared" si="35"/>
        <v>229161.60000000001</v>
      </c>
      <c r="F31" s="76">
        <f t="shared" si="35"/>
        <v>229161.60000000001</v>
      </c>
      <c r="G31" s="76">
        <f t="shared" si="35"/>
        <v>229161.60000000001</v>
      </c>
      <c r="H31" s="76">
        <f t="shared" si="35"/>
        <v>229161.60000000001</v>
      </c>
      <c r="I31" s="76">
        <f t="shared" si="35"/>
        <v>229161.60000000001</v>
      </c>
      <c r="J31" s="76">
        <f t="shared" si="35"/>
        <v>229161.60000000001</v>
      </c>
      <c r="K31" s="76">
        <f t="shared" si="35"/>
        <v>229161.60000000001</v>
      </c>
      <c r="L31" s="76">
        <f t="shared" si="35"/>
        <v>229161.60000000001</v>
      </c>
      <c r="M31" s="76">
        <f t="shared" si="35"/>
        <v>229161.60000000001</v>
      </c>
      <c r="N31" s="76">
        <f>SUM(B31:M31)</f>
        <v>2749939.2000000007</v>
      </c>
      <c r="U31" s="117"/>
      <c r="W31" s="272"/>
      <c r="X31" s="272"/>
      <c r="Y31" s="272"/>
    </row>
    <row r="32" spans="1:27" ht="15" x14ac:dyDescent="0.2">
      <c r="A32" s="75" t="s">
        <v>187</v>
      </c>
      <c r="B32" s="76">
        <f t="shared" ref="B32:M32" si="36">$Q$70*(143*30)</f>
        <v>467610.00000000006</v>
      </c>
      <c r="C32" s="76">
        <f t="shared" si="36"/>
        <v>467610.00000000006</v>
      </c>
      <c r="D32" s="76">
        <f t="shared" si="36"/>
        <v>467610.00000000006</v>
      </c>
      <c r="E32" s="76">
        <f t="shared" si="36"/>
        <v>467610.00000000006</v>
      </c>
      <c r="F32" s="76">
        <f t="shared" si="36"/>
        <v>467610.00000000006</v>
      </c>
      <c r="G32" s="76">
        <f t="shared" si="36"/>
        <v>467610.00000000006</v>
      </c>
      <c r="H32" s="76">
        <f t="shared" si="36"/>
        <v>467610.00000000006</v>
      </c>
      <c r="I32" s="76">
        <f t="shared" si="36"/>
        <v>467610.00000000006</v>
      </c>
      <c r="J32" s="76">
        <f t="shared" si="36"/>
        <v>467610.00000000006</v>
      </c>
      <c r="K32" s="76">
        <f t="shared" si="36"/>
        <v>467610.00000000006</v>
      </c>
      <c r="L32" s="76">
        <f t="shared" si="36"/>
        <v>467610.00000000006</v>
      </c>
      <c r="M32" s="76">
        <f t="shared" si="36"/>
        <v>467610.00000000006</v>
      </c>
      <c r="N32" s="76">
        <f t="shared" ref="N32:N43" si="37">SUM(B32:M32)</f>
        <v>5611320.0000000009</v>
      </c>
      <c r="U32" s="117"/>
      <c r="W32" s="272"/>
      <c r="X32" s="272"/>
      <c r="Y32" s="272"/>
      <c r="Z32" s="272"/>
      <c r="AA32" s="272"/>
    </row>
    <row r="33" spans="1:21" ht="15" x14ac:dyDescent="0.2">
      <c r="A33" s="75" t="s">
        <v>188</v>
      </c>
      <c r="B33" s="76">
        <f t="shared" ref="B33:M33" si="38">($Q$71)*(56*30)</f>
        <v>402864</v>
      </c>
      <c r="C33" s="76">
        <f t="shared" si="38"/>
        <v>402864</v>
      </c>
      <c r="D33" s="76">
        <f t="shared" si="38"/>
        <v>402864</v>
      </c>
      <c r="E33" s="76">
        <f t="shared" si="38"/>
        <v>402864</v>
      </c>
      <c r="F33" s="76">
        <f t="shared" si="38"/>
        <v>402864</v>
      </c>
      <c r="G33" s="76">
        <f t="shared" si="38"/>
        <v>402864</v>
      </c>
      <c r="H33" s="76">
        <f t="shared" si="38"/>
        <v>402864</v>
      </c>
      <c r="I33" s="76">
        <f t="shared" si="38"/>
        <v>402864</v>
      </c>
      <c r="J33" s="76">
        <f t="shared" si="38"/>
        <v>402864</v>
      </c>
      <c r="K33" s="76">
        <f t="shared" si="38"/>
        <v>402864</v>
      </c>
      <c r="L33" s="76">
        <f t="shared" si="38"/>
        <v>402864</v>
      </c>
      <c r="M33" s="76">
        <f t="shared" si="38"/>
        <v>402864</v>
      </c>
      <c r="N33" s="76">
        <f t="shared" si="37"/>
        <v>4834368</v>
      </c>
      <c r="U33" s="117"/>
    </row>
    <row r="34" spans="1:21" ht="15" x14ac:dyDescent="0.2">
      <c r="A34" s="56" t="s">
        <v>268</v>
      </c>
      <c r="B34" s="76">
        <f t="shared" ref="B34:M34" si="39">($Q$72)*(303*4)</f>
        <v>59448.600000000006</v>
      </c>
      <c r="C34" s="76">
        <f t="shared" si="39"/>
        <v>59448.600000000006</v>
      </c>
      <c r="D34" s="76">
        <f t="shared" si="39"/>
        <v>59448.600000000006</v>
      </c>
      <c r="E34" s="76">
        <f t="shared" si="39"/>
        <v>59448.600000000006</v>
      </c>
      <c r="F34" s="76">
        <f t="shared" si="39"/>
        <v>59448.600000000006</v>
      </c>
      <c r="G34" s="76">
        <f t="shared" si="39"/>
        <v>59448.600000000006</v>
      </c>
      <c r="H34" s="76">
        <f t="shared" si="39"/>
        <v>59448.600000000006</v>
      </c>
      <c r="I34" s="76">
        <f t="shared" si="39"/>
        <v>59448.600000000006</v>
      </c>
      <c r="J34" s="76">
        <f t="shared" si="39"/>
        <v>59448.600000000006</v>
      </c>
      <c r="K34" s="76">
        <f t="shared" si="39"/>
        <v>59448.600000000006</v>
      </c>
      <c r="L34" s="76">
        <f t="shared" si="39"/>
        <v>59448.600000000006</v>
      </c>
      <c r="M34" s="76">
        <f t="shared" si="39"/>
        <v>59448.600000000006</v>
      </c>
      <c r="N34" s="76">
        <f t="shared" si="37"/>
        <v>713383.19999999984</v>
      </c>
      <c r="U34" s="117"/>
    </row>
    <row r="35" spans="1:21" ht="15" x14ac:dyDescent="0.2">
      <c r="A35" s="56" t="s">
        <v>267</v>
      </c>
      <c r="B35" s="76">
        <f t="shared" ref="B35:M35" si="40">($Q$73)*(5*30)</f>
        <v>3270</v>
      </c>
      <c r="C35" s="76">
        <f t="shared" si="40"/>
        <v>3270</v>
      </c>
      <c r="D35" s="76">
        <f t="shared" si="40"/>
        <v>3270</v>
      </c>
      <c r="E35" s="76">
        <f t="shared" si="40"/>
        <v>3270</v>
      </c>
      <c r="F35" s="76">
        <f t="shared" si="40"/>
        <v>3270</v>
      </c>
      <c r="G35" s="76">
        <f t="shared" si="40"/>
        <v>3270</v>
      </c>
      <c r="H35" s="76">
        <f t="shared" si="40"/>
        <v>3270</v>
      </c>
      <c r="I35" s="76">
        <f t="shared" si="40"/>
        <v>3270</v>
      </c>
      <c r="J35" s="76">
        <f t="shared" si="40"/>
        <v>3270</v>
      </c>
      <c r="K35" s="76">
        <f t="shared" si="40"/>
        <v>3270</v>
      </c>
      <c r="L35" s="76">
        <f t="shared" si="40"/>
        <v>3270</v>
      </c>
      <c r="M35" s="76">
        <f t="shared" si="40"/>
        <v>3270</v>
      </c>
      <c r="N35" s="76">
        <f t="shared" si="37"/>
        <v>39240</v>
      </c>
      <c r="U35" s="117"/>
    </row>
    <row r="36" spans="1:21" ht="15" x14ac:dyDescent="0.2">
      <c r="A36" s="56" t="s">
        <v>266</v>
      </c>
      <c r="B36" s="76">
        <f t="shared" ref="B36:M36" si="41">($Q$74)*(16*30)</f>
        <v>39240</v>
      </c>
      <c r="C36" s="76">
        <f t="shared" si="41"/>
        <v>39240</v>
      </c>
      <c r="D36" s="76">
        <f t="shared" si="41"/>
        <v>39240</v>
      </c>
      <c r="E36" s="76">
        <f t="shared" si="41"/>
        <v>39240</v>
      </c>
      <c r="F36" s="76">
        <f t="shared" si="41"/>
        <v>39240</v>
      </c>
      <c r="G36" s="76">
        <f t="shared" si="41"/>
        <v>39240</v>
      </c>
      <c r="H36" s="76">
        <f t="shared" si="41"/>
        <v>39240</v>
      </c>
      <c r="I36" s="76">
        <f t="shared" si="41"/>
        <v>39240</v>
      </c>
      <c r="J36" s="76">
        <f t="shared" si="41"/>
        <v>39240</v>
      </c>
      <c r="K36" s="76">
        <f t="shared" si="41"/>
        <v>39240</v>
      </c>
      <c r="L36" s="76">
        <f t="shared" si="41"/>
        <v>39240</v>
      </c>
      <c r="M36" s="76">
        <f t="shared" si="41"/>
        <v>39240</v>
      </c>
      <c r="N36" s="76">
        <f t="shared" si="37"/>
        <v>470880</v>
      </c>
      <c r="U36" s="117"/>
    </row>
    <row r="37" spans="1:21" ht="15" x14ac:dyDescent="0.2">
      <c r="A37" s="56" t="s">
        <v>263</v>
      </c>
      <c r="B37" s="76">
        <f t="shared" ref="B37:M37" si="42">($Q$75)*(11*30)</f>
        <v>26977.5</v>
      </c>
      <c r="C37" s="76">
        <f t="shared" si="42"/>
        <v>26977.5</v>
      </c>
      <c r="D37" s="76">
        <f t="shared" si="42"/>
        <v>26977.5</v>
      </c>
      <c r="E37" s="76">
        <f t="shared" si="42"/>
        <v>26977.5</v>
      </c>
      <c r="F37" s="76">
        <f t="shared" si="42"/>
        <v>26977.5</v>
      </c>
      <c r="G37" s="76">
        <f t="shared" si="42"/>
        <v>26977.5</v>
      </c>
      <c r="H37" s="76">
        <f t="shared" si="42"/>
        <v>26977.5</v>
      </c>
      <c r="I37" s="76">
        <f t="shared" si="42"/>
        <v>26977.5</v>
      </c>
      <c r="J37" s="76">
        <f t="shared" si="42"/>
        <v>26977.5</v>
      </c>
      <c r="K37" s="76">
        <f t="shared" si="42"/>
        <v>26977.5</v>
      </c>
      <c r="L37" s="76">
        <f t="shared" si="42"/>
        <v>26977.5</v>
      </c>
      <c r="M37" s="76">
        <f t="shared" si="42"/>
        <v>26977.5</v>
      </c>
      <c r="N37" s="76">
        <f t="shared" si="37"/>
        <v>323730</v>
      </c>
      <c r="U37" s="117"/>
    </row>
    <row r="38" spans="1:21" ht="15" x14ac:dyDescent="0.2">
      <c r="A38" s="56" t="s">
        <v>262</v>
      </c>
      <c r="B38" s="76">
        <f t="shared" ref="B38:M38" si="43">($Q$76)*(5*30)</f>
        <v>45780.000000000007</v>
      </c>
      <c r="C38" s="76">
        <f t="shared" si="43"/>
        <v>45780.000000000007</v>
      </c>
      <c r="D38" s="76">
        <f t="shared" si="43"/>
        <v>45780.000000000007</v>
      </c>
      <c r="E38" s="76">
        <f t="shared" si="43"/>
        <v>45780.000000000007</v>
      </c>
      <c r="F38" s="76">
        <f t="shared" si="43"/>
        <v>45780.000000000007</v>
      </c>
      <c r="G38" s="76">
        <f t="shared" si="43"/>
        <v>45780.000000000007</v>
      </c>
      <c r="H38" s="76">
        <f t="shared" si="43"/>
        <v>45780.000000000007</v>
      </c>
      <c r="I38" s="76">
        <f t="shared" si="43"/>
        <v>45780.000000000007</v>
      </c>
      <c r="J38" s="76">
        <f t="shared" si="43"/>
        <v>45780.000000000007</v>
      </c>
      <c r="K38" s="76">
        <f t="shared" si="43"/>
        <v>45780.000000000007</v>
      </c>
      <c r="L38" s="76">
        <f t="shared" si="43"/>
        <v>45780.000000000007</v>
      </c>
      <c r="M38" s="76">
        <f t="shared" si="43"/>
        <v>45780.000000000007</v>
      </c>
      <c r="N38" s="76">
        <f t="shared" si="37"/>
        <v>549360.00000000012</v>
      </c>
      <c r="U38" s="117"/>
    </row>
    <row r="39" spans="1:21" ht="15" x14ac:dyDescent="0.2">
      <c r="A39" s="56" t="s">
        <v>261</v>
      </c>
      <c r="B39" s="76">
        <f t="shared" ref="B39:M39" si="44">($Q$77)*(5*30)</f>
        <v>39240</v>
      </c>
      <c r="C39" s="76">
        <f t="shared" si="44"/>
        <v>39240</v>
      </c>
      <c r="D39" s="76">
        <f t="shared" si="44"/>
        <v>39240</v>
      </c>
      <c r="E39" s="76">
        <f t="shared" si="44"/>
        <v>39240</v>
      </c>
      <c r="F39" s="76">
        <f t="shared" si="44"/>
        <v>39240</v>
      </c>
      <c r="G39" s="76">
        <f t="shared" si="44"/>
        <v>39240</v>
      </c>
      <c r="H39" s="76">
        <f t="shared" si="44"/>
        <v>39240</v>
      </c>
      <c r="I39" s="76">
        <f t="shared" si="44"/>
        <v>39240</v>
      </c>
      <c r="J39" s="76">
        <f t="shared" si="44"/>
        <v>39240</v>
      </c>
      <c r="K39" s="76">
        <f t="shared" si="44"/>
        <v>39240</v>
      </c>
      <c r="L39" s="76">
        <f t="shared" si="44"/>
        <v>39240</v>
      </c>
      <c r="M39" s="76">
        <f t="shared" si="44"/>
        <v>39240</v>
      </c>
      <c r="N39" s="76">
        <f t="shared" si="37"/>
        <v>470880</v>
      </c>
      <c r="U39" s="117"/>
    </row>
    <row r="40" spans="1:21" ht="15" x14ac:dyDescent="0.2">
      <c r="A40" s="186" t="s">
        <v>265</v>
      </c>
      <c r="B40" s="76">
        <f t="shared" ref="B40:M40" si="45">($Q$78)*(56*30)</f>
        <v>29299.200000000001</v>
      </c>
      <c r="C40" s="76">
        <f t="shared" si="45"/>
        <v>29299.200000000001</v>
      </c>
      <c r="D40" s="76">
        <f t="shared" si="45"/>
        <v>29299.200000000001</v>
      </c>
      <c r="E40" s="76">
        <f t="shared" si="45"/>
        <v>29299.200000000001</v>
      </c>
      <c r="F40" s="76">
        <f t="shared" si="45"/>
        <v>29299.200000000001</v>
      </c>
      <c r="G40" s="76">
        <f t="shared" si="45"/>
        <v>29299.200000000001</v>
      </c>
      <c r="H40" s="76">
        <f t="shared" si="45"/>
        <v>29299.200000000001</v>
      </c>
      <c r="I40" s="76">
        <f t="shared" si="45"/>
        <v>29299.200000000001</v>
      </c>
      <c r="J40" s="76">
        <f t="shared" si="45"/>
        <v>29299.200000000001</v>
      </c>
      <c r="K40" s="76">
        <f t="shared" si="45"/>
        <v>29299.200000000001</v>
      </c>
      <c r="L40" s="76">
        <f t="shared" si="45"/>
        <v>29299.200000000001</v>
      </c>
      <c r="M40" s="76">
        <f t="shared" si="45"/>
        <v>29299.200000000001</v>
      </c>
      <c r="N40" s="76">
        <f t="shared" si="37"/>
        <v>351590.40000000008</v>
      </c>
      <c r="U40" s="117"/>
    </row>
    <row r="41" spans="1:21" ht="15" x14ac:dyDescent="0.2">
      <c r="A41" s="185" t="s">
        <v>273</v>
      </c>
      <c r="B41" s="76">
        <f t="shared" ref="B41:M41" si="46">($Q$79)*(56*30)</f>
        <v>29299.200000000001</v>
      </c>
      <c r="C41" s="76">
        <f t="shared" si="46"/>
        <v>29299.200000000001</v>
      </c>
      <c r="D41" s="76">
        <f t="shared" si="46"/>
        <v>29299.200000000001</v>
      </c>
      <c r="E41" s="76">
        <f t="shared" si="46"/>
        <v>29299.200000000001</v>
      </c>
      <c r="F41" s="76">
        <f t="shared" si="46"/>
        <v>29299.200000000001</v>
      </c>
      <c r="G41" s="76">
        <f t="shared" si="46"/>
        <v>29299.200000000001</v>
      </c>
      <c r="H41" s="76">
        <f t="shared" si="46"/>
        <v>29299.200000000001</v>
      </c>
      <c r="I41" s="76">
        <f t="shared" si="46"/>
        <v>29299.200000000001</v>
      </c>
      <c r="J41" s="76">
        <f t="shared" si="46"/>
        <v>29299.200000000001</v>
      </c>
      <c r="K41" s="76">
        <f t="shared" si="46"/>
        <v>29299.200000000001</v>
      </c>
      <c r="L41" s="76">
        <f t="shared" si="46"/>
        <v>29299.200000000001</v>
      </c>
      <c r="M41" s="76">
        <f t="shared" si="46"/>
        <v>29299.200000000001</v>
      </c>
      <c r="N41" s="76">
        <f t="shared" si="37"/>
        <v>351590.40000000008</v>
      </c>
      <c r="U41" s="117"/>
    </row>
    <row r="42" spans="1:21" ht="15" x14ac:dyDescent="0.2">
      <c r="A42" s="185" t="s">
        <v>272</v>
      </c>
      <c r="B42" s="76">
        <f t="shared" ref="B42:M42" si="47">($Q$80)*(51*30)</f>
        <v>26683.200000000001</v>
      </c>
      <c r="C42" s="76">
        <f t="shared" si="47"/>
        <v>26683.200000000001</v>
      </c>
      <c r="D42" s="76">
        <f t="shared" si="47"/>
        <v>26683.200000000001</v>
      </c>
      <c r="E42" s="76">
        <f t="shared" si="47"/>
        <v>26683.200000000001</v>
      </c>
      <c r="F42" s="76">
        <f t="shared" si="47"/>
        <v>26683.200000000001</v>
      </c>
      <c r="G42" s="76">
        <f t="shared" si="47"/>
        <v>26683.200000000001</v>
      </c>
      <c r="H42" s="76">
        <f t="shared" si="47"/>
        <v>26683.200000000001</v>
      </c>
      <c r="I42" s="76">
        <f t="shared" si="47"/>
        <v>26683.200000000001</v>
      </c>
      <c r="J42" s="76">
        <f t="shared" si="47"/>
        <v>26683.200000000001</v>
      </c>
      <c r="K42" s="76">
        <f t="shared" si="47"/>
        <v>26683.200000000001</v>
      </c>
      <c r="L42" s="76">
        <f t="shared" si="47"/>
        <v>26683.200000000001</v>
      </c>
      <c r="M42" s="76">
        <f t="shared" si="47"/>
        <v>26683.200000000001</v>
      </c>
      <c r="N42" s="76">
        <f t="shared" si="37"/>
        <v>320198.40000000008</v>
      </c>
      <c r="U42" s="117"/>
    </row>
    <row r="43" spans="1:21" ht="15" x14ac:dyDescent="0.2">
      <c r="A43" s="185" t="s">
        <v>264</v>
      </c>
      <c r="B43" s="76">
        <f t="shared" ref="B43:M43" si="48">($Q$81)*(78*30)</f>
        <v>40809.600000000006</v>
      </c>
      <c r="C43" s="76">
        <f t="shared" si="48"/>
        <v>40809.600000000006</v>
      </c>
      <c r="D43" s="76">
        <f t="shared" si="48"/>
        <v>40809.600000000006</v>
      </c>
      <c r="E43" s="76">
        <f t="shared" si="48"/>
        <v>40809.600000000006</v>
      </c>
      <c r="F43" s="76">
        <f t="shared" si="48"/>
        <v>40809.600000000006</v>
      </c>
      <c r="G43" s="76">
        <f t="shared" si="48"/>
        <v>40809.600000000006</v>
      </c>
      <c r="H43" s="76">
        <f t="shared" si="48"/>
        <v>40809.600000000006</v>
      </c>
      <c r="I43" s="76">
        <f t="shared" si="48"/>
        <v>40809.600000000006</v>
      </c>
      <c r="J43" s="76">
        <f t="shared" si="48"/>
        <v>40809.600000000006</v>
      </c>
      <c r="K43" s="76">
        <f t="shared" si="48"/>
        <v>40809.600000000006</v>
      </c>
      <c r="L43" s="76">
        <f t="shared" si="48"/>
        <v>40809.600000000006</v>
      </c>
      <c r="M43" s="76">
        <f t="shared" si="48"/>
        <v>40809.600000000006</v>
      </c>
      <c r="N43" s="76">
        <f t="shared" si="37"/>
        <v>489715.19999999995</v>
      </c>
      <c r="U43" s="117"/>
    </row>
    <row r="44" spans="1:21" ht="15.75" x14ac:dyDescent="0.25">
      <c r="A44" s="80" t="s">
        <v>87</v>
      </c>
      <c r="B44" s="57">
        <f t="shared" ref="B44:M44" si="49">SUM(B31:B43)</f>
        <v>1439682.9000000001</v>
      </c>
      <c r="C44" s="57">
        <f t="shared" si="49"/>
        <v>1439682.9000000001</v>
      </c>
      <c r="D44" s="57">
        <f t="shared" si="49"/>
        <v>1439682.9000000001</v>
      </c>
      <c r="E44" s="57">
        <f t="shared" si="49"/>
        <v>1439682.9000000001</v>
      </c>
      <c r="F44" s="57">
        <f t="shared" si="49"/>
        <v>1439682.9000000001</v>
      </c>
      <c r="G44" s="57">
        <f t="shared" si="49"/>
        <v>1439682.9000000001</v>
      </c>
      <c r="H44" s="57">
        <f t="shared" si="49"/>
        <v>1439682.9000000001</v>
      </c>
      <c r="I44" s="57">
        <f t="shared" si="49"/>
        <v>1439682.9000000001</v>
      </c>
      <c r="J44" s="57">
        <f t="shared" si="49"/>
        <v>1439682.9000000001</v>
      </c>
      <c r="K44" s="57">
        <f t="shared" si="49"/>
        <v>1439682.9000000001</v>
      </c>
      <c r="L44" s="57">
        <f t="shared" si="49"/>
        <v>1439682.9000000001</v>
      </c>
      <c r="M44" s="57">
        <f t="shared" si="49"/>
        <v>1439682.9000000001</v>
      </c>
      <c r="N44" s="543">
        <f>SUM(B44:M44)</f>
        <v>17276194.800000001</v>
      </c>
      <c r="U44" s="117"/>
    </row>
    <row r="47" spans="1:21" ht="13.5" thickBot="1" x14ac:dyDescent="0.25"/>
    <row r="48" spans="1:21" ht="15.75" x14ac:dyDescent="0.25">
      <c r="A48" s="542" t="s">
        <v>83</v>
      </c>
      <c r="B48" s="666" t="s">
        <v>89</v>
      </c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</row>
    <row r="49" spans="1:21" ht="15.75" x14ac:dyDescent="0.25">
      <c r="A49" s="73" t="s">
        <v>85</v>
      </c>
      <c r="B49" s="74">
        <v>1</v>
      </c>
      <c r="C49" s="74">
        <v>2</v>
      </c>
      <c r="D49" s="74">
        <v>3</v>
      </c>
      <c r="E49" s="74">
        <v>4</v>
      </c>
      <c r="F49" s="74">
        <v>5</v>
      </c>
      <c r="G49" s="74">
        <v>6</v>
      </c>
      <c r="H49" s="74">
        <v>7</v>
      </c>
      <c r="I49" s="74">
        <v>8</v>
      </c>
      <c r="J49" s="74">
        <v>9</v>
      </c>
      <c r="K49" s="74">
        <v>10</v>
      </c>
      <c r="L49" s="74">
        <v>11</v>
      </c>
      <c r="M49" s="74">
        <v>12</v>
      </c>
      <c r="N49" s="74" t="s">
        <v>26</v>
      </c>
    </row>
    <row r="50" spans="1:21" ht="15.75" x14ac:dyDescent="0.25">
      <c r="A50" s="71" t="s">
        <v>246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74" t="s">
        <v>86</v>
      </c>
    </row>
    <row r="51" spans="1:21" ht="15" x14ac:dyDescent="0.2">
      <c r="A51" s="75" t="s">
        <v>239</v>
      </c>
      <c r="B51" s="76">
        <f t="shared" ref="B51:M51" si="50">$R$69*(438*30)</f>
        <v>249786.14400000003</v>
      </c>
      <c r="C51" s="76">
        <f t="shared" si="50"/>
        <v>249786.14400000003</v>
      </c>
      <c r="D51" s="76">
        <f t="shared" si="50"/>
        <v>249786.14400000003</v>
      </c>
      <c r="E51" s="76">
        <f t="shared" si="50"/>
        <v>249786.14400000003</v>
      </c>
      <c r="F51" s="76">
        <f t="shared" si="50"/>
        <v>249786.14400000003</v>
      </c>
      <c r="G51" s="76">
        <f t="shared" si="50"/>
        <v>249786.14400000003</v>
      </c>
      <c r="H51" s="76">
        <f t="shared" si="50"/>
        <v>249786.14400000003</v>
      </c>
      <c r="I51" s="76">
        <f t="shared" si="50"/>
        <v>249786.14400000003</v>
      </c>
      <c r="J51" s="76">
        <f t="shared" si="50"/>
        <v>249786.14400000003</v>
      </c>
      <c r="K51" s="76">
        <f t="shared" si="50"/>
        <v>249786.14400000003</v>
      </c>
      <c r="L51" s="76">
        <f t="shared" si="50"/>
        <v>249786.14400000003</v>
      </c>
      <c r="M51" s="76">
        <f t="shared" si="50"/>
        <v>249786.14400000003</v>
      </c>
      <c r="N51" s="76">
        <f t="shared" ref="N51:N63" si="51">SUM(B51:M51)</f>
        <v>2997433.7280000001</v>
      </c>
      <c r="Q51" s="273"/>
      <c r="R51" s="273"/>
      <c r="S51" s="274"/>
      <c r="T51" s="117"/>
      <c r="U51" s="117"/>
    </row>
    <row r="52" spans="1:21" ht="15" x14ac:dyDescent="0.2">
      <c r="A52" s="75" t="s">
        <v>187</v>
      </c>
      <c r="B52" s="76">
        <f t="shared" ref="B52:M52" si="52">$R$70*(143*30)</f>
        <v>509694.90000000014</v>
      </c>
      <c r="C52" s="76">
        <f t="shared" si="52"/>
        <v>509694.90000000014</v>
      </c>
      <c r="D52" s="76">
        <f t="shared" si="52"/>
        <v>509694.90000000014</v>
      </c>
      <c r="E52" s="76">
        <f t="shared" si="52"/>
        <v>509694.90000000014</v>
      </c>
      <c r="F52" s="76">
        <f t="shared" si="52"/>
        <v>509694.90000000014</v>
      </c>
      <c r="G52" s="76">
        <f t="shared" si="52"/>
        <v>509694.90000000014</v>
      </c>
      <c r="H52" s="76">
        <f t="shared" si="52"/>
        <v>509694.90000000014</v>
      </c>
      <c r="I52" s="76">
        <f t="shared" si="52"/>
        <v>509694.90000000014</v>
      </c>
      <c r="J52" s="76">
        <f t="shared" si="52"/>
        <v>509694.90000000014</v>
      </c>
      <c r="K52" s="76">
        <f t="shared" si="52"/>
        <v>509694.90000000014</v>
      </c>
      <c r="L52" s="76">
        <f t="shared" si="52"/>
        <v>509694.90000000014</v>
      </c>
      <c r="M52" s="76">
        <f t="shared" si="52"/>
        <v>509694.90000000014</v>
      </c>
      <c r="N52" s="76">
        <f t="shared" si="51"/>
        <v>6116338.8000000035</v>
      </c>
      <c r="Q52" s="273"/>
      <c r="R52" s="273"/>
      <c r="S52" s="274"/>
      <c r="T52" s="117"/>
      <c r="U52" s="117"/>
    </row>
    <row r="53" spans="1:21" ht="15" x14ac:dyDescent="0.2">
      <c r="A53" s="75" t="s">
        <v>188</v>
      </c>
      <c r="B53" s="76">
        <f t="shared" ref="B53:M53" si="53">$R$71*(56*30)</f>
        <v>439121.76</v>
      </c>
      <c r="C53" s="76">
        <f t="shared" si="53"/>
        <v>439121.76</v>
      </c>
      <c r="D53" s="76">
        <f t="shared" si="53"/>
        <v>439121.76</v>
      </c>
      <c r="E53" s="76">
        <f t="shared" si="53"/>
        <v>439121.76</v>
      </c>
      <c r="F53" s="76">
        <f t="shared" si="53"/>
        <v>439121.76</v>
      </c>
      <c r="G53" s="76">
        <f t="shared" si="53"/>
        <v>439121.76</v>
      </c>
      <c r="H53" s="76">
        <f t="shared" si="53"/>
        <v>439121.76</v>
      </c>
      <c r="I53" s="76">
        <f t="shared" si="53"/>
        <v>439121.76</v>
      </c>
      <c r="J53" s="76">
        <f t="shared" si="53"/>
        <v>439121.76</v>
      </c>
      <c r="K53" s="76">
        <f t="shared" si="53"/>
        <v>439121.76</v>
      </c>
      <c r="L53" s="76">
        <f t="shared" si="53"/>
        <v>439121.76</v>
      </c>
      <c r="M53" s="76">
        <f t="shared" si="53"/>
        <v>439121.76</v>
      </c>
      <c r="N53" s="76">
        <f t="shared" si="51"/>
        <v>5269461.1199999982</v>
      </c>
      <c r="Q53" s="273"/>
      <c r="R53" s="273"/>
      <c r="S53" s="274"/>
      <c r="T53" s="117"/>
      <c r="U53" s="117"/>
    </row>
    <row r="54" spans="1:21" ht="15" x14ac:dyDescent="0.2">
      <c r="A54" s="56" t="s">
        <v>268</v>
      </c>
      <c r="B54" s="76">
        <f t="shared" ref="B54:M54" si="54">($R$72)*(303*4)</f>
        <v>64798.974000000009</v>
      </c>
      <c r="C54" s="76">
        <f t="shared" si="54"/>
        <v>64798.974000000009</v>
      </c>
      <c r="D54" s="76">
        <f t="shared" si="54"/>
        <v>64798.974000000009</v>
      </c>
      <c r="E54" s="76">
        <f t="shared" si="54"/>
        <v>64798.974000000009</v>
      </c>
      <c r="F54" s="76">
        <f t="shared" si="54"/>
        <v>64798.974000000009</v>
      </c>
      <c r="G54" s="76">
        <f t="shared" si="54"/>
        <v>64798.974000000009</v>
      </c>
      <c r="H54" s="76">
        <f t="shared" si="54"/>
        <v>64798.974000000009</v>
      </c>
      <c r="I54" s="76">
        <f t="shared" si="54"/>
        <v>64798.974000000009</v>
      </c>
      <c r="J54" s="76">
        <f t="shared" si="54"/>
        <v>64798.974000000009</v>
      </c>
      <c r="K54" s="76">
        <f t="shared" si="54"/>
        <v>64798.974000000009</v>
      </c>
      <c r="L54" s="76">
        <f t="shared" si="54"/>
        <v>64798.974000000009</v>
      </c>
      <c r="M54" s="76">
        <f t="shared" si="54"/>
        <v>64798.974000000009</v>
      </c>
      <c r="N54" s="76">
        <f t="shared" si="51"/>
        <v>777587.6880000002</v>
      </c>
      <c r="Q54" s="273"/>
      <c r="R54" s="273"/>
      <c r="S54" s="274"/>
      <c r="T54" s="117"/>
      <c r="U54" s="117"/>
    </row>
    <row r="55" spans="1:21" ht="15" x14ac:dyDescent="0.2">
      <c r="A55" s="56" t="s">
        <v>267</v>
      </c>
      <c r="B55" s="76">
        <f t="shared" ref="B55:M55" si="55">($R$73)*(5*30)</f>
        <v>3564.3000000000006</v>
      </c>
      <c r="C55" s="76">
        <f t="shared" si="55"/>
        <v>3564.3000000000006</v>
      </c>
      <c r="D55" s="76">
        <f t="shared" si="55"/>
        <v>3564.3000000000006</v>
      </c>
      <c r="E55" s="76">
        <f t="shared" si="55"/>
        <v>3564.3000000000006</v>
      </c>
      <c r="F55" s="76">
        <f t="shared" si="55"/>
        <v>3564.3000000000006</v>
      </c>
      <c r="G55" s="76">
        <f t="shared" si="55"/>
        <v>3564.3000000000006</v>
      </c>
      <c r="H55" s="76">
        <f t="shared" si="55"/>
        <v>3564.3000000000006</v>
      </c>
      <c r="I55" s="76">
        <f t="shared" si="55"/>
        <v>3564.3000000000006</v>
      </c>
      <c r="J55" s="76">
        <f t="shared" si="55"/>
        <v>3564.3000000000006</v>
      </c>
      <c r="K55" s="76">
        <f t="shared" si="55"/>
        <v>3564.3000000000006</v>
      </c>
      <c r="L55" s="76">
        <f t="shared" si="55"/>
        <v>3564.3000000000006</v>
      </c>
      <c r="M55" s="76">
        <f t="shared" si="55"/>
        <v>3564.3000000000006</v>
      </c>
      <c r="N55" s="76">
        <f t="shared" si="51"/>
        <v>42771.600000000006</v>
      </c>
      <c r="Q55" s="273"/>
      <c r="R55" s="273"/>
      <c r="S55" s="274"/>
      <c r="T55" s="117"/>
      <c r="U55" s="117"/>
    </row>
    <row r="56" spans="1:21" ht="15" x14ac:dyDescent="0.2">
      <c r="A56" s="56" t="s">
        <v>266</v>
      </c>
      <c r="B56" s="76">
        <f t="shared" ref="B56:M56" si="56">($R$75)*(16*30)</f>
        <v>42771.6</v>
      </c>
      <c r="C56" s="76">
        <f t="shared" si="56"/>
        <v>42771.6</v>
      </c>
      <c r="D56" s="76">
        <f t="shared" si="56"/>
        <v>42771.6</v>
      </c>
      <c r="E56" s="76">
        <f t="shared" si="56"/>
        <v>42771.6</v>
      </c>
      <c r="F56" s="76">
        <f t="shared" si="56"/>
        <v>42771.6</v>
      </c>
      <c r="G56" s="76">
        <f t="shared" si="56"/>
        <v>42771.6</v>
      </c>
      <c r="H56" s="76">
        <f t="shared" si="56"/>
        <v>42771.6</v>
      </c>
      <c r="I56" s="76">
        <f t="shared" si="56"/>
        <v>42771.6</v>
      </c>
      <c r="J56" s="76">
        <f t="shared" si="56"/>
        <v>42771.6</v>
      </c>
      <c r="K56" s="76">
        <f t="shared" si="56"/>
        <v>42771.6</v>
      </c>
      <c r="L56" s="76">
        <f t="shared" si="56"/>
        <v>42771.6</v>
      </c>
      <c r="M56" s="76">
        <f t="shared" si="56"/>
        <v>42771.6</v>
      </c>
      <c r="N56" s="76">
        <f t="shared" si="51"/>
        <v>513259.1999999999</v>
      </c>
      <c r="Q56" s="273"/>
      <c r="R56" s="273"/>
      <c r="S56" s="274"/>
      <c r="T56" s="117"/>
      <c r="U56" s="117"/>
    </row>
    <row r="57" spans="1:21" ht="15" x14ac:dyDescent="0.2">
      <c r="A57" s="56" t="s">
        <v>263</v>
      </c>
      <c r="B57" s="76">
        <f t="shared" ref="B57:M57" si="57">($R$74)*(11*30)</f>
        <v>29405.475000000002</v>
      </c>
      <c r="C57" s="76">
        <f t="shared" si="57"/>
        <v>29405.475000000002</v>
      </c>
      <c r="D57" s="76">
        <f t="shared" si="57"/>
        <v>29405.475000000002</v>
      </c>
      <c r="E57" s="76">
        <f t="shared" si="57"/>
        <v>29405.475000000002</v>
      </c>
      <c r="F57" s="76">
        <f t="shared" si="57"/>
        <v>29405.475000000002</v>
      </c>
      <c r="G57" s="76">
        <f t="shared" si="57"/>
        <v>29405.475000000002</v>
      </c>
      <c r="H57" s="76">
        <f t="shared" si="57"/>
        <v>29405.475000000002</v>
      </c>
      <c r="I57" s="76">
        <f t="shared" si="57"/>
        <v>29405.475000000002</v>
      </c>
      <c r="J57" s="76">
        <f t="shared" si="57"/>
        <v>29405.475000000002</v>
      </c>
      <c r="K57" s="76">
        <f t="shared" si="57"/>
        <v>29405.475000000002</v>
      </c>
      <c r="L57" s="76">
        <f t="shared" si="57"/>
        <v>29405.475000000002</v>
      </c>
      <c r="M57" s="76">
        <f t="shared" si="57"/>
        <v>29405.475000000002</v>
      </c>
      <c r="N57" s="76">
        <f t="shared" si="51"/>
        <v>352865.69999999995</v>
      </c>
      <c r="Q57" s="273"/>
      <c r="R57" s="273"/>
      <c r="S57" s="274"/>
      <c r="T57" s="117"/>
      <c r="U57" s="117"/>
    </row>
    <row r="58" spans="1:21" ht="15" x14ac:dyDescent="0.2">
      <c r="A58" s="56" t="s">
        <v>262</v>
      </c>
      <c r="B58" s="76">
        <f t="shared" ref="B58:M58" si="58">($R$76)*(5*30)</f>
        <v>49900.200000000012</v>
      </c>
      <c r="C58" s="76">
        <f t="shared" si="58"/>
        <v>49900.200000000012</v>
      </c>
      <c r="D58" s="76">
        <f t="shared" si="58"/>
        <v>49900.200000000012</v>
      </c>
      <c r="E58" s="76">
        <f t="shared" si="58"/>
        <v>49900.200000000012</v>
      </c>
      <c r="F58" s="76">
        <f t="shared" si="58"/>
        <v>49900.200000000012</v>
      </c>
      <c r="G58" s="76">
        <f t="shared" si="58"/>
        <v>49900.200000000012</v>
      </c>
      <c r="H58" s="76">
        <f t="shared" si="58"/>
        <v>49900.200000000012</v>
      </c>
      <c r="I58" s="76">
        <f t="shared" si="58"/>
        <v>49900.200000000012</v>
      </c>
      <c r="J58" s="76">
        <f t="shared" si="58"/>
        <v>49900.200000000012</v>
      </c>
      <c r="K58" s="76">
        <f t="shared" si="58"/>
        <v>49900.200000000012</v>
      </c>
      <c r="L58" s="76">
        <f t="shared" si="58"/>
        <v>49900.200000000012</v>
      </c>
      <c r="M58" s="76">
        <f t="shared" si="58"/>
        <v>49900.200000000012</v>
      </c>
      <c r="N58" s="76">
        <f t="shared" si="51"/>
        <v>598802.40000000014</v>
      </c>
      <c r="Q58" s="273"/>
      <c r="R58" s="273"/>
      <c r="S58" s="274"/>
      <c r="T58" s="117"/>
      <c r="U58" s="117"/>
    </row>
    <row r="59" spans="1:21" ht="15" x14ac:dyDescent="0.2">
      <c r="A59" s="56" t="s">
        <v>261</v>
      </c>
      <c r="B59" s="76">
        <f t="shared" ref="B59:M59" si="59">($R$77)*(5*30)</f>
        <v>42771.600000000006</v>
      </c>
      <c r="C59" s="76">
        <f t="shared" si="59"/>
        <v>42771.600000000006</v>
      </c>
      <c r="D59" s="76">
        <f t="shared" si="59"/>
        <v>42771.600000000006</v>
      </c>
      <c r="E59" s="76">
        <f t="shared" si="59"/>
        <v>42771.600000000006</v>
      </c>
      <c r="F59" s="76">
        <f t="shared" si="59"/>
        <v>42771.600000000006</v>
      </c>
      <c r="G59" s="76">
        <f t="shared" si="59"/>
        <v>42771.600000000006</v>
      </c>
      <c r="H59" s="76">
        <f t="shared" si="59"/>
        <v>42771.600000000006</v>
      </c>
      <c r="I59" s="76">
        <f t="shared" si="59"/>
        <v>42771.600000000006</v>
      </c>
      <c r="J59" s="76">
        <f t="shared" si="59"/>
        <v>42771.600000000006</v>
      </c>
      <c r="K59" s="76">
        <f t="shared" si="59"/>
        <v>42771.600000000006</v>
      </c>
      <c r="L59" s="76">
        <f t="shared" si="59"/>
        <v>42771.600000000006</v>
      </c>
      <c r="M59" s="76">
        <f t="shared" si="59"/>
        <v>42771.600000000006</v>
      </c>
      <c r="N59" s="76">
        <f t="shared" si="51"/>
        <v>513259.19999999995</v>
      </c>
      <c r="Q59" s="273"/>
      <c r="R59" s="273"/>
      <c r="S59" s="274"/>
      <c r="T59" s="117"/>
      <c r="U59" s="117"/>
    </row>
    <row r="60" spans="1:21" ht="15" x14ac:dyDescent="0.2">
      <c r="A60" s="186" t="s">
        <v>265</v>
      </c>
      <c r="B60" s="76">
        <f t="shared" ref="B60:M60" si="60">($R$78)*(56*30)</f>
        <v>31936.128000000004</v>
      </c>
      <c r="C60" s="76">
        <f t="shared" si="60"/>
        <v>31936.128000000004</v>
      </c>
      <c r="D60" s="76">
        <f t="shared" si="60"/>
        <v>31936.128000000004</v>
      </c>
      <c r="E60" s="76">
        <f t="shared" si="60"/>
        <v>31936.128000000004</v>
      </c>
      <c r="F60" s="76">
        <f t="shared" si="60"/>
        <v>31936.128000000004</v>
      </c>
      <c r="G60" s="76">
        <f t="shared" si="60"/>
        <v>31936.128000000004</v>
      </c>
      <c r="H60" s="76">
        <f t="shared" si="60"/>
        <v>31936.128000000004</v>
      </c>
      <c r="I60" s="76">
        <f t="shared" si="60"/>
        <v>31936.128000000004</v>
      </c>
      <c r="J60" s="76">
        <f t="shared" si="60"/>
        <v>31936.128000000004</v>
      </c>
      <c r="K60" s="76">
        <f t="shared" si="60"/>
        <v>31936.128000000004</v>
      </c>
      <c r="L60" s="76">
        <f t="shared" si="60"/>
        <v>31936.128000000004</v>
      </c>
      <c r="M60" s="76">
        <f t="shared" si="60"/>
        <v>31936.128000000004</v>
      </c>
      <c r="N60" s="76">
        <f t="shared" si="51"/>
        <v>383233.53600000008</v>
      </c>
      <c r="Q60" s="273"/>
      <c r="R60" s="273"/>
      <c r="S60" s="274"/>
      <c r="T60" s="117"/>
      <c r="U60" s="117"/>
    </row>
    <row r="61" spans="1:21" ht="15" x14ac:dyDescent="0.2">
      <c r="A61" s="185" t="s">
        <v>273</v>
      </c>
      <c r="B61" s="76">
        <f t="shared" ref="B61:M61" si="61">($R$79)*(56*30)</f>
        <v>31936.128000000004</v>
      </c>
      <c r="C61" s="76">
        <f t="shared" si="61"/>
        <v>31936.128000000004</v>
      </c>
      <c r="D61" s="76">
        <f t="shared" si="61"/>
        <v>31936.128000000004</v>
      </c>
      <c r="E61" s="76">
        <f t="shared" si="61"/>
        <v>31936.128000000004</v>
      </c>
      <c r="F61" s="76">
        <f t="shared" si="61"/>
        <v>31936.128000000004</v>
      </c>
      <c r="G61" s="76">
        <f t="shared" si="61"/>
        <v>31936.128000000004</v>
      </c>
      <c r="H61" s="76">
        <f t="shared" si="61"/>
        <v>31936.128000000004</v>
      </c>
      <c r="I61" s="76">
        <f t="shared" si="61"/>
        <v>31936.128000000004</v>
      </c>
      <c r="J61" s="76">
        <f t="shared" si="61"/>
        <v>31936.128000000004</v>
      </c>
      <c r="K61" s="76">
        <f t="shared" si="61"/>
        <v>31936.128000000004</v>
      </c>
      <c r="L61" s="76">
        <f t="shared" si="61"/>
        <v>31936.128000000004</v>
      </c>
      <c r="M61" s="76">
        <f t="shared" si="61"/>
        <v>31936.128000000004</v>
      </c>
      <c r="N61" s="76">
        <f t="shared" si="51"/>
        <v>383233.53600000008</v>
      </c>
      <c r="Q61" s="273"/>
      <c r="R61" s="273"/>
      <c r="S61" s="274"/>
      <c r="T61" s="117"/>
      <c r="U61" s="117"/>
    </row>
    <row r="62" spans="1:21" ht="15" x14ac:dyDescent="0.2">
      <c r="A62" s="185" t="s">
        <v>272</v>
      </c>
      <c r="B62" s="76">
        <f t="shared" ref="B62:M62" si="62">($R$80)*(51*30)</f>
        <v>29084.688000000006</v>
      </c>
      <c r="C62" s="76">
        <f t="shared" si="62"/>
        <v>29084.688000000006</v>
      </c>
      <c r="D62" s="76">
        <f t="shared" si="62"/>
        <v>29084.688000000006</v>
      </c>
      <c r="E62" s="76">
        <f t="shared" si="62"/>
        <v>29084.688000000006</v>
      </c>
      <c r="F62" s="76">
        <f t="shared" si="62"/>
        <v>29084.688000000006</v>
      </c>
      <c r="G62" s="76">
        <f t="shared" si="62"/>
        <v>29084.688000000006</v>
      </c>
      <c r="H62" s="76">
        <f t="shared" si="62"/>
        <v>29084.688000000006</v>
      </c>
      <c r="I62" s="76">
        <f t="shared" si="62"/>
        <v>29084.688000000006</v>
      </c>
      <c r="J62" s="76">
        <f t="shared" si="62"/>
        <v>29084.688000000006</v>
      </c>
      <c r="K62" s="76">
        <f t="shared" si="62"/>
        <v>29084.688000000006</v>
      </c>
      <c r="L62" s="76">
        <f t="shared" si="62"/>
        <v>29084.688000000006</v>
      </c>
      <c r="M62" s="76">
        <f t="shared" si="62"/>
        <v>29084.688000000006</v>
      </c>
      <c r="N62" s="76">
        <f t="shared" si="51"/>
        <v>349016.25600000005</v>
      </c>
      <c r="Q62" s="273"/>
      <c r="R62" s="273"/>
      <c r="S62" s="274"/>
      <c r="T62" s="117"/>
      <c r="U62" s="117"/>
    </row>
    <row r="63" spans="1:21" ht="15" x14ac:dyDescent="0.2">
      <c r="A63" s="185" t="s">
        <v>264</v>
      </c>
      <c r="B63" s="76">
        <f t="shared" ref="B63:M63" si="63">($R$81)*(78*30)</f>
        <v>44482.464000000007</v>
      </c>
      <c r="C63" s="76">
        <f t="shared" si="63"/>
        <v>44482.464000000007</v>
      </c>
      <c r="D63" s="76">
        <f t="shared" si="63"/>
        <v>44482.464000000007</v>
      </c>
      <c r="E63" s="76">
        <f t="shared" si="63"/>
        <v>44482.464000000007</v>
      </c>
      <c r="F63" s="76">
        <f t="shared" si="63"/>
        <v>44482.464000000007</v>
      </c>
      <c r="G63" s="76">
        <f t="shared" si="63"/>
        <v>44482.464000000007</v>
      </c>
      <c r="H63" s="76">
        <f t="shared" si="63"/>
        <v>44482.464000000007</v>
      </c>
      <c r="I63" s="76">
        <f t="shared" si="63"/>
        <v>44482.464000000007</v>
      </c>
      <c r="J63" s="76">
        <f t="shared" si="63"/>
        <v>44482.464000000007</v>
      </c>
      <c r="K63" s="76">
        <f t="shared" si="63"/>
        <v>44482.464000000007</v>
      </c>
      <c r="L63" s="76">
        <f t="shared" si="63"/>
        <v>44482.464000000007</v>
      </c>
      <c r="M63" s="76">
        <f t="shared" si="63"/>
        <v>44482.464000000007</v>
      </c>
      <c r="N63" s="76">
        <f t="shared" si="51"/>
        <v>533789.5680000002</v>
      </c>
      <c r="Q63" s="273"/>
      <c r="R63" s="273"/>
      <c r="S63" s="274"/>
      <c r="T63" s="117"/>
      <c r="U63" s="117"/>
    </row>
    <row r="64" spans="1:21" ht="15.75" x14ac:dyDescent="0.25">
      <c r="A64" s="80" t="s">
        <v>87</v>
      </c>
      <c r="B64" s="57">
        <f>SUM(B51:B63)</f>
        <v>1569254.3610000005</v>
      </c>
      <c r="C64" s="57">
        <f t="shared" ref="C64:M64" si="64">SUM(C51:C63)</f>
        <v>1569254.3610000005</v>
      </c>
      <c r="D64" s="57">
        <f t="shared" si="64"/>
        <v>1569254.3610000005</v>
      </c>
      <c r="E64" s="57">
        <f t="shared" si="64"/>
        <v>1569254.3610000005</v>
      </c>
      <c r="F64" s="57">
        <f t="shared" si="64"/>
        <v>1569254.3610000005</v>
      </c>
      <c r="G64" s="57">
        <f t="shared" si="64"/>
        <v>1569254.3610000005</v>
      </c>
      <c r="H64" s="57">
        <f t="shared" si="64"/>
        <v>1569254.3610000005</v>
      </c>
      <c r="I64" s="57">
        <f t="shared" si="64"/>
        <v>1569254.3610000005</v>
      </c>
      <c r="J64" s="57">
        <f t="shared" si="64"/>
        <v>1569254.3610000005</v>
      </c>
      <c r="K64" s="57">
        <f t="shared" si="64"/>
        <v>1569254.3610000005</v>
      </c>
      <c r="L64" s="57">
        <f t="shared" si="64"/>
        <v>1569254.3610000005</v>
      </c>
      <c r="M64" s="57">
        <f t="shared" si="64"/>
        <v>1569254.3610000005</v>
      </c>
      <c r="N64" s="543">
        <f>(B64+C64+D64+E64+F64+G64)+(H64+I64+J64+K64+L64+M64)*1.18</f>
        <v>20525847.041880004</v>
      </c>
      <c r="U64" s="117"/>
    </row>
    <row r="67" spans="1:21" ht="13.5" thickBot="1" x14ac:dyDescent="0.25"/>
    <row r="68" spans="1:21" ht="15.75" x14ac:dyDescent="0.25">
      <c r="A68" s="542" t="s">
        <v>83</v>
      </c>
      <c r="B68" s="666" t="s">
        <v>90</v>
      </c>
      <c r="C68" s="666"/>
      <c r="D68" s="6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P68" s="667" t="s">
        <v>368</v>
      </c>
      <c r="Q68" s="667"/>
      <c r="R68" s="667"/>
      <c r="S68" s="667"/>
      <c r="T68" s="667"/>
    </row>
    <row r="69" spans="1:21" ht="15.75" x14ac:dyDescent="0.25">
      <c r="A69" s="73" t="s">
        <v>85</v>
      </c>
      <c r="B69" s="74">
        <v>1</v>
      </c>
      <c r="C69" s="74">
        <v>2</v>
      </c>
      <c r="D69" s="74">
        <v>3</v>
      </c>
      <c r="E69" s="74">
        <v>4</v>
      </c>
      <c r="F69" s="74">
        <v>5</v>
      </c>
      <c r="G69" s="74">
        <v>6</v>
      </c>
      <c r="H69" s="74">
        <v>7</v>
      </c>
      <c r="I69" s="74">
        <v>8</v>
      </c>
      <c r="J69" s="74">
        <v>9</v>
      </c>
      <c r="K69" s="74">
        <v>10</v>
      </c>
      <c r="L69" s="74">
        <v>11</v>
      </c>
      <c r="M69" s="74">
        <v>12</v>
      </c>
      <c r="N69" s="74" t="s">
        <v>26</v>
      </c>
      <c r="P69" s="275">
        <v>16</v>
      </c>
      <c r="Q69" s="275">
        <f>P69*1.09</f>
        <v>17.440000000000001</v>
      </c>
      <c r="R69" s="275">
        <f>Q69*1.09</f>
        <v>19.009600000000002</v>
      </c>
      <c r="S69" s="275">
        <f>R69*1.09</f>
        <v>20.720464000000003</v>
      </c>
      <c r="T69" s="275">
        <f>S69*1.09</f>
        <v>22.585305760000004</v>
      </c>
    </row>
    <row r="70" spans="1:21" ht="15.75" x14ac:dyDescent="0.25">
      <c r="A70" s="71" t="s">
        <v>246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74" t="s">
        <v>86</v>
      </c>
      <c r="P70" s="275">
        <v>100</v>
      </c>
      <c r="Q70" s="275">
        <f t="shared" ref="Q70:R81" si="65">P70*1.09</f>
        <v>109.00000000000001</v>
      </c>
      <c r="R70" s="275">
        <f t="shared" si="65"/>
        <v>118.81000000000003</v>
      </c>
      <c r="S70" s="275">
        <f t="shared" ref="S70:T81" si="66">R70*1.09</f>
        <v>129.50290000000004</v>
      </c>
      <c r="T70" s="275">
        <f t="shared" si="66"/>
        <v>141.15816100000006</v>
      </c>
    </row>
    <row r="71" spans="1:21" ht="15" x14ac:dyDescent="0.2">
      <c r="A71" s="75" t="s">
        <v>239</v>
      </c>
      <c r="B71" s="76">
        <f>$S$69*(438*30)</f>
        <v>272266.89696000004</v>
      </c>
      <c r="C71" s="76">
        <f t="shared" ref="C71:M71" si="67">$S$69*(438*30)</f>
        <v>272266.89696000004</v>
      </c>
      <c r="D71" s="76">
        <f t="shared" si="67"/>
        <v>272266.89696000004</v>
      </c>
      <c r="E71" s="76">
        <f t="shared" si="67"/>
        <v>272266.89696000004</v>
      </c>
      <c r="F71" s="76">
        <f t="shared" si="67"/>
        <v>272266.89696000004</v>
      </c>
      <c r="G71" s="76">
        <f t="shared" si="67"/>
        <v>272266.89696000004</v>
      </c>
      <c r="H71" s="76">
        <f t="shared" si="67"/>
        <v>272266.89696000004</v>
      </c>
      <c r="I71" s="76">
        <f t="shared" si="67"/>
        <v>272266.89696000004</v>
      </c>
      <c r="J71" s="76">
        <f t="shared" si="67"/>
        <v>272266.89696000004</v>
      </c>
      <c r="K71" s="76">
        <f t="shared" si="67"/>
        <v>272266.89696000004</v>
      </c>
      <c r="L71" s="76">
        <f t="shared" si="67"/>
        <v>272266.89696000004</v>
      </c>
      <c r="M71" s="76">
        <f t="shared" si="67"/>
        <v>272266.89696000004</v>
      </c>
      <c r="N71" s="76">
        <f t="shared" ref="N71:N83" si="68">SUM(B71:M71)</f>
        <v>3267202.7635200005</v>
      </c>
      <c r="P71" s="275">
        <v>220</v>
      </c>
      <c r="Q71" s="275">
        <f t="shared" si="65"/>
        <v>239.8</v>
      </c>
      <c r="R71" s="275">
        <f t="shared" si="65"/>
        <v>261.38200000000001</v>
      </c>
      <c r="S71" s="275">
        <f t="shared" si="66"/>
        <v>284.90638000000001</v>
      </c>
      <c r="T71" s="275">
        <f t="shared" si="66"/>
        <v>310.54795420000005</v>
      </c>
      <c r="U71" s="117"/>
    </row>
    <row r="72" spans="1:21" ht="15" x14ac:dyDescent="0.2">
      <c r="A72" s="75" t="s">
        <v>187</v>
      </c>
      <c r="B72" s="76">
        <f>$S$70*(143*30)</f>
        <v>555567.44100000022</v>
      </c>
      <c r="C72" s="76">
        <f t="shared" ref="C72:M72" si="69">$S$70*(143*30)</f>
        <v>555567.44100000022</v>
      </c>
      <c r="D72" s="76">
        <f t="shared" si="69"/>
        <v>555567.44100000022</v>
      </c>
      <c r="E72" s="76">
        <f t="shared" si="69"/>
        <v>555567.44100000022</v>
      </c>
      <c r="F72" s="76">
        <f t="shared" si="69"/>
        <v>555567.44100000022</v>
      </c>
      <c r="G72" s="76">
        <f t="shared" si="69"/>
        <v>555567.44100000022</v>
      </c>
      <c r="H72" s="76">
        <f t="shared" si="69"/>
        <v>555567.44100000022</v>
      </c>
      <c r="I72" s="76">
        <f t="shared" si="69"/>
        <v>555567.44100000022</v>
      </c>
      <c r="J72" s="76">
        <f t="shared" si="69"/>
        <v>555567.44100000022</v>
      </c>
      <c r="K72" s="76">
        <f t="shared" si="69"/>
        <v>555567.44100000022</v>
      </c>
      <c r="L72" s="76">
        <f t="shared" si="69"/>
        <v>555567.44100000022</v>
      </c>
      <c r="M72" s="76">
        <f t="shared" si="69"/>
        <v>555567.44100000022</v>
      </c>
      <c r="N72" s="76">
        <f t="shared" si="68"/>
        <v>6666809.2920000041</v>
      </c>
      <c r="P72" s="275">
        <v>45</v>
      </c>
      <c r="Q72" s="275">
        <f t="shared" si="65"/>
        <v>49.050000000000004</v>
      </c>
      <c r="R72" s="275">
        <f t="shared" si="65"/>
        <v>53.464500000000008</v>
      </c>
      <c r="S72" s="275">
        <f t="shared" si="66"/>
        <v>58.276305000000015</v>
      </c>
      <c r="T72" s="275">
        <f t="shared" si="66"/>
        <v>63.521172450000023</v>
      </c>
      <c r="U72" s="117"/>
    </row>
    <row r="73" spans="1:21" ht="15" x14ac:dyDescent="0.2">
      <c r="A73" s="75" t="s">
        <v>188</v>
      </c>
      <c r="B73" s="76">
        <f>$S$71*(56*30)</f>
        <v>478642.71840000001</v>
      </c>
      <c r="C73" s="76">
        <f t="shared" ref="C73:M73" si="70">$S$71*(56*30)</f>
        <v>478642.71840000001</v>
      </c>
      <c r="D73" s="76">
        <f t="shared" si="70"/>
        <v>478642.71840000001</v>
      </c>
      <c r="E73" s="76">
        <f t="shared" si="70"/>
        <v>478642.71840000001</v>
      </c>
      <c r="F73" s="76">
        <f t="shared" si="70"/>
        <v>478642.71840000001</v>
      </c>
      <c r="G73" s="76">
        <f t="shared" si="70"/>
        <v>478642.71840000001</v>
      </c>
      <c r="H73" s="76">
        <f t="shared" si="70"/>
        <v>478642.71840000001</v>
      </c>
      <c r="I73" s="76">
        <f t="shared" si="70"/>
        <v>478642.71840000001</v>
      </c>
      <c r="J73" s="76">
        <f t="shared" si="70"/>
        <v>478642.71840000001</v>
      </c>
      <c r="K73" s="76">
        <f t="shared" si="70"/>
        <v>478642.71840000001</v>
      </c>
      <c r="L73" s="76">
        <f t="shared" si="70"/>
        <v>478642.71840000001</v>
      </c>
      <c r="M73" s="76">
        <f t="shared" si="70"/>
        <v>478642.71840000001</v>
      </c>
      <c r="N73" s="76">
        <f t="shared" si="68"/>
        <v>5743712.6207999997</v>
      </c>
      <c r="P73" s="275">
        <v>20</v>
      </c>
      <c r="Q73" s="275">
        <f t="shared" si="65"/>
        <v>21.8</v>
      </c>
      <c r="R73" s="275">
        <f t="shared" si="65"/>
        <v>23.762000000000004</v>
      </c>
      <c r="S73" s="275">
        <f t="shared" si="66"/>
        <v>25.900580000000005</v>
      </c>
      <c r="T73" s="275">
        <f t="shared" si="66"/>
        <v>28.231632200000007</v>
      </c>
      <c r="U73" s="117"/>
    </row>
    <row r="74" spans="1:21" ht="15" x14ac:dyDescent="0.2">
      <c r="A74" s="56" t="s">
        <v>268</v>
      </c>
      <c r="B74" s="76">
        <f>($S$72)*(303*4)</f>
        <v>70630.881660000014</v>
      </c>
      <c r="C74" s="76">
        <f t="shared" ref="C74:M74" si="71">($S$72)*(303*4)</f>
        <v>70630.881660000014</v>
      </c>
      <c r="D74" s="76">
        <f t="shared" si="71"/>
        <v>70630.881660000014</v>
      </c>
      <c r="E74" s="76">
        <f t="shared" si="71"/>
        <v>70630.881660000014</v>
      </c>
      <c r="F74" s="76">
        <f t="shared" si="71"/>
        <v>70630.881660000014</v>
      </c>
      <c r="G74" s="76">
        <f t="shared" si="71"/>
        <v>70630.881660000014</v>
      </c>
      <c r="H74" s="76">
        <f t="shared" si="71"/>
        <v>70630.881660000014</v>
      </c>
      <c r="I74" s="76">
        <f t="shared" si="71"/>
        <v>70630.881660000014</v>
      </c>
      <c r="J74" s="76">
        <f t="shared" si="71"/>
        <v>70630.881660000014</v>
      </c>
      <c r="K74" s="76">
        <f t="shared" si="71"/>
        <v>70630.881660000014</v>
      </c>
      <c r="L74" s="76">
        <f t="shared" si="71"/>
        <v>70630.881660000014</v>
      </c>
      <c r="M74" s="76">
        <f t="shared" si="71"/>
        <v>70630.881660000014</v>
      </c>
      <c r="N74" s="76">
        <f t="shared" si="68"/>
        <v>847570.57991999993</v>
      </c>
      <c r="P74" s="275">
        <v>75</v>
      </c>
      <c r="Q74" s="275">
        <f t="shared" si="65"/>
        <v>81.75</v>
      </c>
      <c r="R74" s="275">
        <f t="shared" si="65"/>
        <v>89.107500000000002</v>
      </c>
      <c r="S74" s="275">
        <f t="shared" si="66"/>
        <v>97.127175000000008</v>
      </c>
      <c r="T74" s="275">
        <f t="shared" si="66"/>
        <v>105.86862075000002</v>
      </c>
      <c r="U74" s="117"/>
    </row>
    <row r="75" spans="1:21" ht="15" x14ac:dyDescent="0.2">
      <c r="A75" s="56" t="s">
        <v>267</v>
      </c>
      <c r="B75" s="76">
        <f>($S$73)*(5*30)</f>
        <v>3885.0870000000009</v>
      </c>
      <c r="C75" s="76">
        <f t="shared" ref="C75:M75" si="72">($S$73)*(5*30)</f>
        <v>3885.0870000000009</v>
      </c>
      <c r="D75" s="76">
        <f t="shared" si="72"/>
        <v>3885.0870000000009</v>
      </c>
      <c r="E75" s="76">
        <f t="shared" si="72"/>
        <v>3885.0870000000009</v>
      </c>
      <c r="F75" s="76">
        <f t="shared" si="72"/>
        <v>3885.0870000000009</v>
      </c>
      <c r="G75" s="76">
        <f t="shared" si="72"/>
        <v>3885.0870000000009</v>
      </c>
      <c r="H75" s="76">
        <f t="shared" si="72"/>
        <v>3885.0870000000009</v>
      </c>
      <c r="I75" s="76">
        <f t="shared" si="72"/>
        <v>3885.0870000000009</v>
      </c>
      <c r="J75" s="76">
        <f t="shared" si="72"/>
        <v>3885.0870000000009</v>
      </c>
      <c r="K75" s="76">
        <f t="shared" si="72"/>
        <v>3885.0870000000009</v>
      </c>
      <c r="L75" s="76">
        <f t="shared" si="72"/>
        <v>3885.0870000000009</v>
      </c>
      <c r="M75" s="76">
        <f t="shared" si="72"/>
        <v>3885.0870000000009</v>
      </c>
      <c r="N75" s="76">
        <f t="shared" si="68"/>
        <v>46621.044000000002</v>
      </c>
      <c r="P75" s="275">
        <v>75</v>
      </c>
      <c r="Q75" s="275">
        <f t="shared" si="65"/>
        <v>81.75</v>
      </c>
      <c r="R75" s="275">
        <f t="shared" si="65"/>
        <v>89.107500000000002</v>
      </c>
      <c r="S75" s="275">
        <f t="shared" si="66"/>
        <v>97.127175000000008</v>
      </c>
      <c r="T75" s="275">
        <f t="shared" si="66"/>
        <v>105.86862075000002</v>
      </c>
      <c r="U75" s="117"/>
    </row>
    <row r="76" spans="1:21" ht="15" x14ac:dyDescent="0.2">
      <c r="A76" s="56" t="s">
        <v>266</v>
      </c>
      <c r="B76" s="76">
        <f>($S$75)*(16*30)</f>
        <v>46621.044000000002</v>
      </c>
      <c r="C76" s="76">
        <f t="shared" ref="C76:M76" si="73">($S$75)*(16*30)</f>
        <v>46621.044000000002</v>
      </c>
      <c r="D76" s="76">
        <f t="shared" si="73"/>
        <v>46621.044000000002</v>
      </c>
      <c r="E76" s="76">
        <f t="shared" si="73"/>
        <v>46621.044000000002</v>
      </c>
      <c r="F76" s="76">
        <f t="shared" si="73"/>
        <v>46621.044000000002</v>
      </c>
      <c r="G76" s="76">
        <f t="shared" si="73"/>
        <v>46621.044000000002</v>
      </c>
      <c r="H76" s="76">
        <f t="shared" si="73"/>
        <v>46621.044000000002</v>
      </c>
      <c r="I76" s="76">
        <f t="shared" si="73"/>
        <v>46621.044000000002</v>
      </c>
      <c r="J76" s="76">
        <f t="shared" si="73"/>
        <v>46621.044000000002</v>
      </c>
      <c r="K76" s="76">
        <f t="shared" si="73"/>
        <v>46621.044000000002</v>
      </c>
      <c r="L76" s="76">
        <f t="shared" si="73"/>
        <v>46621.044000000002</v>
      </c>
      <c r="M76" s="76">
        <f t="shared" si="73"/>
        <v>46621.044000000002</v>
      </c>
      <c r="N76" s="76">
        <f t="shared" si="68"/>
        <v>559452.52800000005</v>
      </c>
      <c r="P76" s="275">
        <v>280</v>
      </c>
      <c r="Q76" s="275">
        <f t="shared" si="65"/>
        <v>305.20000000000005</v>
      </c>
      <c r="R76" s="275">
        <f t="shared" si="65"/>
        <v>332.66800000000006</v>
      </c>
      <c r="S76" s="275">
        <f t="shared" si="66"/>
        <v>362.6081200000001</v>
      </c>
      <c r="T76" s="275">
        <f t="shared" si="66"/>
        <v>395.24285080000016</v>
      </c>
      <c r="U76" s="117"/>
    </row>
    <row r="77" spans="1:21" ht="15" x14ac:dyDescent="0.2">
      <c r="A77" s="56" t="s">
        <v>263</v>
      </c>
      <c r="B77" s="76">
        <f>($S$74)*(11*30)</f>
        <v>32051.967750000003</v>
      </c>
      <c r="C77" s="76">
        <f t="shared" ref="C77:M77" si="74">($S$74)*(11*30)</f>
        <v>32051.967750000003</v>
      </c>
      <c r="D77" s="76">
        <f t="shared" si="74"/>
        <v>32051.967750000003</v>
      </c>
      <c r="E77" s="76">
        <f t="shared" si="74"/>
        <v>32051.967750000003</v>
      </c>
      <c r="F77" s="76">
        <f t="shared" si="74"/>
        <v>32051.967750000003</v>
      </c>
      <c r="G77" s="76">
        <f t="shared" si="74"/>
        <v>32051.967750000003</v>
      </c>
      <c r="H77" s="76">
        <f t="shared" si="74"/>
        <v>32051.967750000003</v>
      </c>
      <c r="I77" s="76">
        <f t="shared" si="74"/>
        <v>32051.967750000003</v>
      </c>
      <c r="J77" s="76">
        <f t="shared" si="74"/>
        <v>32051.967750000003</v>
      </c>
      <c r="K77" s="76">
        <f t="shared" si="74"/>
        <v>32051.967750000003</v>
      </c>
      <c r="L77" s="76">
        <f t="shared" si="74"/>
        <v>32051.967750000003</v>
      </c>
      <c r="M77" s="76">
        <f t="shared" si="74"/>
        <v>32051.967750000003</v>
      </c>
      <c r="N77" s="76">
        <f t="shared" si="68"/>
        <v>384623.61300000007</v>
      </c>
      <c r="P77" s="275">
        <v>240</v>
      </c>
      <c r="Q77" s="275">
        <f t="shared" si="65"/>
        <v>261.60000000000002</v>
      </c>
      <c r="R77" s="275">
        <f t="shared" si="65"/>
        <v>285.14400000000006</v>
      </c>
      <c r="S77" s="275">
        <f t="shared" si="66"/>
        <v>310.80696000000012</v>
      </c>
      <c r="T77" s="275">
        <f t="shared" si="66"/>
        <v>338.77958640000014</v>
      </c>
      <c r="U77" s="117"/>
    </row>
    <row r="78" spans="1:21" ht="15" x14ac:dyDescent="0.2">
      <c r="A78" s="56" t="s">
        <v>262</v>
      </c>
      <c r="B78" s="76">
        <f>($S$76)*(5*30)</f>
        <v>54391.218000000015</v>
      </c>
      <c r="C78" s="76">
        <f t="shared" ref="C78:M78" si="75">($S$76)*(5*30)</f>
        <v>54391.218000000015</v>
      </c>
      <c r="D78" s="76">
        <f t="shared" si="75"/>
        <v>54391.218000000015</v>
      </c>
      <c r="E78" s="76">
        <f t="shared" si="75"/>
        <v>54391.218000000015</v>
      </c>
      <c r="F78" s="76">
        <f t="shared" si="75"/>
        <v>54391.218000000015</v>
      </c>
      <c r="G78" s="76">
        <f t="shared" si="75"/>
        <v>54391.218000000015</v>
      </c>
      <c r="H78" s="76">
        <f t="shared" si="75"/>
        <v>54391.218000000015</v>
      </c>
      <c r="I78" s="76">
        <f t="shared" si="75"/>
        <v>54391.218000000015</v>
      </c>
      <c r="J78" s="76">
        <f t="shared" si="75"/>
        <v>54391.218000000015</v>
      </c>
      <c r="K78" s="76">
        <f t="shared" si="75"/>
        <v>54391.218000000015</v>
      </c>
      <c r="L78" s="76">
        <f t="shared" si="75"/>
        <v>54391.218000000015</v>
      </c>
      <c r="M78" s="76">
        <f t="shared" si="75"/>
        <v>54391.218000000015</v>
      </c>
      <c r="N78" s="76">
        <f t="shared" si="68"/>
        <v>652694.61600000004</v>
      </c>
      <c r="P78" s="275">
        <v>16</v>
      </c>
      <c r="Q78" s="275">
        <f t="shared" si="65"/>
        <v>17.440000000000001</v>
      </c>
      <c r="R78" s="275">
        <f t="shared" si="65"/>
        <v>19.009600000000002</v>
      </c>
      <c r="S78" s="275">
        <f t="shared" si="66"/>
        <v>20.720464000000003</v>
      </c>
      <c r="T78" s="275">
        <f t="shared" si="66"/>
        <v>22.585305760000004</v>
      </c>
      <c r="U78" s="117"/>
    </row>
    <row r="79" spans="1:21" ht="15" x14ac:dyDescent="0.2">
      <c r="A79" s="56" t="s">
        <v>261</v>
      </c>
      <c r="B79" s="76">
        <f>($S$77)*(5*30)</f>
        <v>46621.044000000016</v>
      </c>
      <c r="C79" s="76">
        <f t="shared" ref="C79:M79" si="76">($S$77)*(5*30)</f>
        <v>46621.044000000016</v>
      </c>
      <c r="D79" s="76">
        <f t="shared" si="76"/>
        <v>46621.044000000016</v>
      </c>
      <c r="E79" s="76">
        <f t="shared" si="76"/>
        <v>46621.044000000016</v>
      </c>
      <c r="F79" s="76">
        <f t="shared" si="76"/>
        <v>46621.044000000016</v>
      </c>
      <c r="G79" s="76">
        <f t="shared" si="76"/>
        <v>46621.044000000016</v>
      </c>
      <c r="H79" s="76">
        <f t="shared" si="76"/>
        <v>46621.044000000016</v>
      </c>
      <c r="I79" s="76">
        <f t="shared" si="76"/>
        <v>46621.044000000016</v>
      </c>
      <c r="J79" s="76">
        <f t="shared" si="76"/>
        <v>46621.044000000016</v>
      </c>
      <c r="K79" s="76">
        <f t="shared" si="76"/>
        <v>46621.044000000016</v>
      </c>
      <c r="L79" s="76">
        <f t="shared" si="76"/>
        <v>46621.044000000016</v>
      </c>
      <c r="M79" s="76">
        <f t="shared" si="76"/>
        <v>46621.044000000016</v>
      </c>
      <c r="N79" s="76">
        <f t="shared" si="68"/>
        <v>559452.52800000005</v>
      </c>
      <c r="P79" s="275">
        <v>16</v>
      </c>
      <c r="Q79" s="275">
        <f t="shared" si="65"/>
        <v>17.440000000000001</v>
      </c>
      <c r="R79" s="275">
        <f t="shared" si="65"/>
        <v>19.009600000000002</v>
      </c>
      <c r="S79" s="275">
        <f t="shared" si="66"/>
        <v>20.720464000000003</v>
      </c>
      <c r="T79" s="275">
        <f t="shared" si="66"/>
        <v>22.585305760000004</v>
      </c>
      <c r="U79" s="117"/>
    </row>
    <row r="80" spans="1:21" ht="15" x14ac:dyDescent="0.2">
      <c r="A80" s="186" t="s">
        <v>265</v>
      </c>
      <c r="B80" s="76">
        <f>($S$78)*(56*30)</f>
        <v>34810.379520000002</v>
      </c>
      <c r="C80" s="76">
        <f t="shared" ref="C80:M80" si="77">($S$78)*(56*30)</f>
        <v>34810.379520000002</v>
      </c>
      <c r="D80" s="76">
        <f t="shared" si="77"/>
        <v>34810.379520000002</v>
      </c>
      <c r="E80" s="76">
        <f t="shared" si="77"/>
        <v>34810.379520000002</v>
      </c>
      <c r="F80" s="76">
        <f t="shared" si="77"/>
        <v>34810.379520000002</v>
      </c>
      <c r="G80" s="76">
        <f t="shared" si="77"/>
        <v>34810.379520000002</v>
      </c>
      <c r="H80" s="76">
        <f t="shared" si="77"/>
        <v>34810.379520000002</v>
      </c>
      <c r="I80" s="76">
        <f t="shared" si="77"/>
        <v>34810.379520000002</v>
      </c>
      <c r="J80" s="76">
        <f t="shared" si="77"/>
        <v>34810.379520000002</v>
      </c>
      <c r="K80" s="76">
        <f t="shared" si="77"/>
        <v>34810.379520000002</v>
      </c>
      <c r="L80" s="76">
        <f t="shared" si="77"/>
        <v>34810.379520000002</v>
      </c>
      <c r="M80" s="76">
        <f t="shared" si="77"/>
        <v>34810.379520000002</v>
      </c>
      <c r="N80" s="76">
        <f t="shared" si="68"/>
        <v>417724.55424000014</v>
      </c>
      <c r="P80" s="275">
        <v>16</v>
      </c>
      <c r="Q80" s="275">
        <f t="shared" si="65"/>
        <v>17.440000000000001</v>
      </c>
      <c r="R80" s="275">
        <f t="shared" si="65"/>
        <v>19.009600000000002</v>
      </c>
      <c r="S80" s="275">
        <f t="shared" si="66"/>
        <v>20.720464000000003</v>
      </c>
      <c r="T80" s="275">
        <f t="shared" si="66"/>
        <v>22.585305760000004</v>
      </c>
      <c r="U80" s="117"/>
    </row>
    <row r="81" spans="1:21" ht="15" x14ac:dyDescent="0.2">
      <c r="A81" s="185" t="s">
        <v>273</v>
      </c>
      <c r="B81" s="76">
        <f>($S$79)*(56*30)</f>
        <v>34810.379520000002</v>
      </c>
      <c r="C81" s="76">
        <f t="shared" ref="C81:M81" si="78">($S$79)*(56*30)</f>
        <v>34810.379520000002</v>
      </c>
      <c r="D81" s="76">
        <f t="shared" si="78"/>
        <v>34810.379520000002</v>
      </c>
      <c r="E81" s="76">
        <f t="shared" si="78"/>
        <v>34810.379520000002</v>
      </c>
      <c r="F81" s="76">
        <f t="shared" si="78"/>
        <v>34810.379520000002</v>
      </c>
      <c r="G81" s="76">
        <f t="shared" si="78"/>
        <v>34810.379520000002</v>
      </c>
      <c r="H81" s="76">
        <f t="shared" si="78"/>
        <v>34810.379520000002</v>
      </c>
      <c r="I81" s="76">
        <f t="shared" si="78"/>
        <v>34810.379520000002</v>
      </c>
      <c r="J81" s="76">
        <f t="shared" si="78"/>
        <v>34810.379520000002</v>
      </c>
      <c r="K81" s="76">
        <f t="shared" si="78"/>
        <v>34810.379520000002</v>
      </c>
      <c r="L81" s="76">
        <f t="shared" si="78"/>
        <v>34810.379520000002</v>
      </c>
      <c r="M81" s="76">
        <f t="shared" si="78"/>
        <v>34810.379520000002</v>
      </c>
      <c r="N81" s="76">
        <f t="shared" si="68"/>
        <v>417724.55424000014</v>
      </c>
      <c r="P81" s="275">
        <v>16</v>
      </c>
      <c r="Q81" s="275">
        <f t="shared" si="65"/>
        <v>17.440000000000001</v>
      </c>
      <c r="R81" s="275">
        <f t="shared" si="65"/>
        <v>19.009600000000002</v>
      </c>
      <c r="S81" s="275">
        <f t="shared" si="66"/>
        <v>20.720464000000003</v>
      </c>
      <c r="T81" s="275">
        <f t="shared" si="66"/>
        <v>22.585305760000004</v>
      </c>
      <c r="U81" s="117"/>
    </row>
    <row r="82" spans="1:21" ht="15" x14ac:dyDescent="0.2">
      <c r="A82" s="185" t="s">
        <v>272</v>
      </c>
      <c r="B82" s="76">
        <f>($S$80)*(51*30)</f>
        <v>31702.309920000003</v>
      </c>
      <c r="C82" s="76">
        <f t="shared" ref="C82:M82" si="79">($S$80)*(51*30)</f>
        <v>31702.309920000003</v>
      </c>
      <c r="D82" s="76">
        <f t="shared" si="79"/>
        <v>31702.309920000003</v>
      </c>
      <c r="E82" s="76">
        <f t="shared" si="79"/>
        <v>31702.309920000003</v>
      </c>
      <c r="F82" s="76">
        <f t="shared" si="79"/>
        <v>31702.309920000003</v>
      </c>
      <c r="G82" s="76">
        <f t="shared" si="79"/>
        <v>31702.309920000003</v>
      </c>
      <c r="H82" s="76">
        <f t="shared" si="79"/>
        <v>31702.309920000003</v>
      </c>
      <c r="I82" s="76">
        <f t="shared" si="79"/>
        <v>31702.309920000003</v>
      </c>
      <c r="J82" s="76">
        <f t="shared" si="79"/>
        <v>31702.309920000003</v>
      </c>
      <c r="K82" s="76">
        <f t="shared" si="79"/>
        <v>31702.309920000003</v>
      </c>
      <c r="L82" s="76">
        <f t="shared" si="79"/>
        <v>31702.309920000003</v>
      </c>
      <c r="M82" s="76">
        <f t="shared" si="79"/>
        <v>31702.309920000003</v>
      </c>
      <c r="N82" s="76">
        <f t="shared" si="68"/>
        <v>380427.71904000011</v>
      </c>
      <c r="Q82" s="273"/>
      <c r="R82" s="273"/>
      <c r="S82" s="274"/>
      <c r="T82" s="117"/>
      <c r="U82" s="117"/>
    </row>
    <row r="83" spans="1:21" ht="15" x14ac:dyDescent="0.2">
      <c r="A83" s="185" t="s">
        <v>264</v>
      </c>
      <c r="B83" s="76">
        <f>($S$81)*(78*30)</f>
        <v>48485.885760000005</v>
      </c>
      <c r="C83" s="76">
        <f t="shared" ref="C83:M83" si="80">($S$81)*(78*30)</f>
        <v>48485.885760000005</v>
      </c>
      <c r="D83" s="76">
        <f t="shared" si="80"/>
        <v>48485.885760000005</v>
      </c>
      <c r="E83" s="76">
        <f t="shared" si="80"/>
        <v>48485.885760000005</v>
      </c>
      <c r="F83" s="76">
        <f t="shared" si="80"/>
        <v>48485.885760000005</v>
      </c>
      <c r="G83" s="76">
        <f t="shared" si="80"/>
        <v>48485.885760000005</v>
      </c>
      <c r="H83" s="76">
        <f t="shared" si="80"/>
        <v>48485.885760000005</v>
      </c>
      <c r="I83" s="76">
        <f t="shared" si="80"/>
        <v>48485.885760000005</v>
      </c>
      <c r="J83" s="76">
        <f t="shared" si="80"/>
        <v>48485.885760000005</v>
      </c>
      <c r="K83" s="76">
        <f t="shared" si="80"/>
        <v>48485.885760000005</v>
      </c>
      <c r="L83" s="76">
        <f t="shared" si="80"/>
        <v>48485.885760000005</v>
      </c>
      <c r="M83" s="76">
        <f t="shared" si="80"/>
        <v>48485.885760000005</v>
      </c>
      <c r="N83" s="76">
        <f t="shared" si="68"/>
        <v>581830.62911999994</v>
      </c>
      <c r="Q83" s="273"/>
      <c r="R83" s="273"/>
      <c r="S83" s="274"/>
      <c r="T83" s="117"/>
      <c r="U83" s="117"/>
    </row>
    <row r="84" spans="1:21" ht="15.75" x14ac:dyDescent="0.25">
      <c r="A84" s="80" t="s">
        <v>87</v>
      </c>
      <c r="B84" s="57">
        <f>SUM(B71:B83)</f>
        <v>1710487.2534900003</v>
      </c>
      <c r="C84" s="57">
        <f t="shared" ref="C84:M84" si="81">SUM(C71:C83)</f>
        <v>1710487.2534900003</v>
      </c>
      <c r="D84" s="57">
        <f t="shared" si="81"/>
        <v>1710487.2534900003</v>
      </c>
      <c r="E84" s="57">
        <f t="shared" si="81"/>
        <v>1710487.2534900003</v>
      </c>
      <c r="F84" s="57">
        <f t="shared" si="81"/>
        <v>1710487.2534900003</v>
      </c>
      <c r="G84" s="57">
        <f t="shared" si="81"/>
        <v>1710487.2534900003</v>
      </c>
      <c r="H84" s="57">
        <f t="shared" si="81"/>
        <v>1710487.2534900003</v>
      </c>
      <c r="I84" s="57">
        <f t="shared" si="81"/>
        <v>1710487.2534900003</v>
      </c>
      <c r="J84" s="57">
        <f t="shared" si="81"/>
        <v>1710487.2534900003</v>
      </c>
      <c r="K84" s="57">
        <f t="shared" si="81"/>
        <v>1710487.2534900003</v>
      </c>
      <c r="L84" s="57">
        <f t="shared" si="81"/>
        <v>1710487.2534900003</v>
      </c>
      <c r="M84" s="57">
        <f t="shared" si="81"/>
        <v>1710487.2534900003</v>
      </c>
      <c r="N84" s="543">
        <f>(B84+C84+D84+E84+F84+G84)+(H84+I84+J84+K84+L84+M84)*1.27</f>
        <v>23296836.392533805</v>
      </c>
      <c r="U84" s="117"/>
    </row>
    <row r="87" spans="1:21" ht="13.5" thickBot="1" x14ac:dyDescent="0.25"/>
    <row r="88" spans="1:21" ht="15.75" x14ac:dyDescent="0.25">
      <c r="A88" s="542" t="s">
        <v>83</v>
      </c>
      <c r="B88" s="666" t="s">
        <v>343</v>
      </c>
      <c r="C88" s="666"/>
      <c r="D88" s="666"/>
      <c r="E88" s="666"/>
      <c r="F88" s="666"/>
      <c r="G88" s="666"/>
      <c r="H88" s="666"/>
      <c r="I88" s="666"/>
      <c r="J88" s="666"/>
      <c r="K88" s="666"/>
      <c r="L88" s="666"/>
      <c r="M88" s="666"/>
      <c r="N88" s="666"/>
    </row>
    <row r="89" spans="1:21" ht="15.75" x14ac:dyDescent="0.25">
      <c r="A89" s="73" t="s">
        <v>85</v>
      </c>
      <c r="B89" s="74">
        <v>1</v>
      </c>
      <c r="C89" s="74">
        <v>2</v>
      </c>
      <c r="D89" s="74">
        <v>3</v>
      </c>
      <c r="E89" s="74">
        <v>4</v>
      </c>
      <c r="F89" s="74">
        <v>5</v>
      </c>
      <c r="G89" s="74">
        <v>6</v>
      </c>
      <c r="H89" s="74">
        <v>7</v>
      </c>
      <c r="I89" s="74">
        <v>8</v>
      </c>
      <c r="J89" s="74">
        <v>9</v>
      </c>
      <c r="K89" s="74">
        <v>10</v>
      </c>
      <c r="L89" s="74">
        <v>11</v>
      </c>
      <c r="M89" s="74">
        <v>12</v>
      </c>
      <c r="N89" s="74" t="s">
        <v>26</v>
      </c>
    </row>
    <row r="90" spans="1:21" ht="15.75" x14ac:dyDescent="0.25">
      <c r="A90" s="71" t="s">
        <v>246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74" t="s">
        <v>86</v>
      </c>
    </row>
    <row r="91" spans="1:21" ht="15" x14ac:dyDescent="0.2">
      <c r="A91" s="75" t="s">
        <v>239</v>
      </c>
      <c r="B91" s="76">
        <f>$T$69*(438*30)</f>
        <v>296770.91768640006</v>
      </c>
      <c r="C91" s="76">
        <f t="shared" ref="C91:M91" si="82">$T$69*(438*30)</f>
        <v>296770.91768640006</v>
      </c>
      <c r="D91" s="76">
        <f t="shared" si="82"/>
        <v>296770.91768640006</v>
      </c>
      <c r="E91" s="76">
        <f t="shared" si="82"/>
        <v>296770.91768640006</v>
      </c>
      <c r="F91" s="76">
        <f t="shared" si="82"/>
        <v>296770.91768640006</v>
      </c>
      <c r="G91" s="76">
        <f t="shared" si="82"/>
        <v>296770.91768640006</v>
      </c>
      <c r="H91" s="76">
        <f t="shared" si="82"/>
        <v>296770.91768640006</v>
      </c>
      <c r="I91" s="76">
        <f t="shared" si="82"/>
        <v>296770.91768640006</v>
      </c>
      <c r="J91" s="76">
        <f t="shared" si="82"/>
        <v>296770.91768640006</v>
      </c>
      <c r="K91" s="76">
        <f t="shared" si="82"/>
        <v>296770.91768640006</v>
      </c>
      <c r="L91" s="76">
        <f t="shared" si="82"/>
        <v>296770.91768640006</v>
      </c>
      <c r="M91" s="76">
        <f t="shared" si="82"/>
        <v>296770.91768640006</v>
      </c>
      <c r="N91" s="76">
        <f t="shared" ref="N91:N103" si="83">SUM(B91:M91)</f>
        <v>3561251.0122368005</v>
      </c>
      <c r="Q91" s="273"/>
      <c r="R91" s="273"/>
      <c r="S91" s="274"/>
      <c r="T91" s="117"/>
      <c r="U91" s="117"/>
    </row>
    <row r="92" spans="1:21" ht="15" x14ac:dyDescent="0.2">
      <c r="A92" s="75" t="s">
        <v>187</v>
      </c>
      <c r="B92" s="76">
        <f>$T$70*(143*30)</f>
        <v>605568.51069000026</v>
      </c>
      <c r="C92" s="76">
        <f t="shared" ref="C92:M92" si="84">$T$70*(143*30)</f>
        <v>605568.51069000026</v>
      </c>
      <c r="D92" s="76">
        <f t="shared" si="84"/>
        <v>605568.51069000026</v>
      </c>
      <c r="E92" s="76">
        <f t="shared" si="84"/>
        <v>605568.51069000026</v>
      </c>
      <c r="F92" s="76">
        <f t="shared" si="84"/>
        <v>605568.51069000026</v>
      </c>
      <c r="G92" s="76">
        <f t="shared" si="84"/>
        <v>605568.51069000026</v>
      </c>
      <c r="H92" s="76">
        <f t="shared" si="84"/>
        <v>605568.51069000026</v>
      </c>
      <c r="I92" s="76">
        <f t="shared" si="84"/>
        <v>605568.51069000026</v>
      </c>
      <c r="J92" s="76">
        <f t="shared" si="84"/>
        <v>605568.51069000026</v>
      </c>
      <c r="K92" s="76">
        <f t="shared" si="84"/>
        <v>605568.51069000026</v>
      </c>
      <c r="L92" s="76">
        <f t="shared" si="84"/>
        <v>605568.51069000026</v>
      </c>
      <c r="M92" s="76">
        <f t="shared" si="84"/>
        <v>605568.51069000026</v>
      </c>
      <c r="N92" s="76">
        <f t="shared" si="83"/>
        <v>7266822.1282800017</v>
      </c>
      <c r="Q92" s="273"/>
      <c r="R92" s="273"/>
      <c r="S92" s="274"/>
      <c r="T92" s="117"/>
      <c r="U92" s="117"/>
    </row>
    <row r="93" spans="1:21" ht="15" x14ac:dyDescent="0.2">
      <c r="A93" s="75" t="s">
        <v>188</v>
      </c>
      <c r="B93" s="76">
        <f>$T$71*(56*30)</f>
        <v>521720.5630560001</v>
      </c>
      <c r="C93" s="76">
        <f t="shared" ref="C93:M93" si="85">$T$71*(56*30)</f>
        <v>521720.5630560001</v>
      </c>
      <c r="D93" s="76">
        <f t="shared" si="85"/>
        <v>521720.5630560001</v>
      </c>
      <c r="E93" s="76">
        <f t="shared" si="85"/>
        <v>521720.5630560001</v>
      </c>
      <c r="F93" s="76">
        <f t="shared" si="85"/>
        <v>521720.5630560001</v>
      </c>
      <c r="G93" s="76">
        <f t="shared" si="85"/>
        <v>521720.5630560001</v>
      </c>
      <c r="H93" s="76">
        <f t="shared" si="85"/>
        <v>521720.5630560001</v>
      </c>
      <c r="I93" s="76">
        <f t="shared" si="85"/>
        <v>521720.5630560001</v>
      </c>
      <c r="J93" s="76">
        <f t="shared" si="85"/>
        <v>521720.5630560001</v>
      </c>
      <c r="K93" s="76">
        <f t="shared" si="85"/>
        <v>521720.5630560001</v>
      </c>
      <c r="L93" s="76">
        <f t="shared" si="85"/>
        <v>521720.5630560001</v>
      </c>
      <c r="M93" s="76">
        <f t="shared" si="85"/>
        <v>521720.5630560001</v>
      </c>
      <c r="N93" s="76">
        <f t="shared" si="83"/>
        <v>6260646.7566720024</v>
      </c>
      <c r="Q93" s="273"/>
      <c r="R93" s="273"/>
      <c r="S93" s="274"/>
      <c r="T93" s="117"/>
      <c r="U93" s="117"/>
    </row>
    <row r="94" spans="1:21" ht="15" x14ac:dyDescent="0.2">
      <c r="A94" s="56" t="s">
        <v>268</v>
      </c>
      <c r="B94" s="76">
        <f>($T$72)*(303*4)</f>
        <v>76987.661009400021</v>
      </c>
      <c r="C94" s="76">
        <f t="shared" ref="C94:M94" si="86">($T$72)*(303*4)</f>
        <v>76987.661009400021</v>
      </c>
      <c r="D94" s="76">
        <f t="shared" si="86"/>
        <v>76987.661009400021</v>
      </c>
      <c r="E94" s="76">
        <f t="shared" si="86"/>
        <v>76987.661009400021</v>
      </c>
      <c r="F94" s="76">
        <f t="shared" si="86"/>
        <v>76987.661009400021</v>
      </c>
      <c r="G94" s="76">
        <f t="shared" si="86"/>
        <v>76987.661009400021</v>
      </c>
      <c r="H94" s="76">
        <f t="shared" si="86"/>
        <v>76987.661009400021</v>
      </c>
      <c r="I94" s="76">
        <f t="shared" si="86"/>
        <v>76987.661009400021</v>
      </c>
      <c r="J94" s="76">
        <f t="shared" si="86"/>
        <v>76987.661009400021</v>
      </c>
      <c r="K94" s="76">
        <f t="shared" si="86"/>
        <v>76987.661009400021</v>
      </c>
      <c r="L94" s="76">
        <f t="shared" si="86"/>
        <v>76987.661009400021</v>
      </c>
      <c r="M94" s="76">
        <f t="shared" si="86"/>
        <v>76987.661009400021</v>
      </c>
      <c r="N94" s="76">
        <f t="shared" si="83"/>
        <v>923851.93211280031</v>
      </c>
      <c r="Q94" s="273"/>
      <c r="R94" s="273"/>
      <c r="S94" s="274"/>
      <c r="T94" s="117"/>
      <c r="U94" s="117"/>
    </row>
    <row r="95" spans="1:21" ht="15" x14ac:dyDescent="0.2">
      <c r="A95" s="56" t="s">
        <v>267</v>
      </c>
      <c r="B95" s="76">
        <f>($T$73)*(5*30)</f>
        <v>4234.7448300000015</v>
      </c>
      <c r="C95" s="76">
        <f t="shared" ref="C95:M95" si="87">($T$73)*(5*30)</f>
        <v>4234.7448300000015</v>
      </c>
      <c r="D95" s="76">
        <f t="shared" si="87"/>
        <v>4234.7448300000015</v>
      </c>
      <c r="E95" s="76">
        <f t="shared" si="87"/>
        <v>4234.7448300000015</v>
      </c>
      <c r="F95" s="76">
        <f t="shared" si="87"/>
        <v>4234.7448300000015</v>
      </c>
      <c r="G95" s="76">
        <f t="shared" si="87"/>
        <v>4234.7448300000015</v>
      </c>
      <c r="H95" s="76">
        <f t="shared" si="87"/>
        <v>4234.7448300000015</v>
      </c>
      <c r="I95" s="76">
        <f t="shared" si="87"/>
        <v>4234.7448300000015</v>
      </c>
      <c r="J95" s="76">
        <f t="shared" si="87"/>
        <v>4234.7448300000015</v>
      </c>
      <c r="K95" s="76">
        <f t="shared" si="87"/>
        <v>4234.7448300000015</v>
      </c>
      <c r="L95" s="76">
        <f t="shared" si="87"/>
        <v>4234.7448300000015</v>
      </c>
      <c r="M95" s="76">
        <f t="shared" si="87"/>
        <v>4234.7448300000015</v>
      </c>
      <c r="N95" s="76">
        <f t="shared" si="83"/>
        <v>50816.937960000032</v>
      </c>
      <c r="Q95" s="273"/>
      <c r="R95" s="273"/>
      <c r="S95" s="274"/>
      <c r="T95" s="117"/>
      <c r="U95" s="117"/>
    </row>
    <row r="96" spans="1:21" ht="15" x14ac:dyDescent="0.2">
      <c r="A96" s="56" t="s">
        <v>266</v>
      </c>
      <c r="B96" s="76">
        <f>($T$74)*(16*30)</f>
        <v>50816.93796000001</v>
      </c>
      <c r="C96" s="76">
        <f t="shared" ref="C96:M96" si="88">($T$74)*(16*30)</f>
        <v>50816.93796000001</v>
      </c>
      <c r="D96" s="76">
        <f t="shared" si="88"/>
        <v>50816.93796000001</v>
      </c>
      <c r="E96" s="76">
        <f t="shared" si="88"/>
        <v>50816.93796000001</v>
      </c>
      <c r="F96" s="76">
        <f t="shared" si="88"/>
        <v>50816.93796000001</v>
      </c>
      <c r="G96" s="76">
        <f t="shared" si="88"/>
        <v>50816.93796000001</v>
      </c>
      <c r="H96" s="76">
        <f t="shared" si="88"/>
        <v>50816.93796000001</v>
      </c>
      <c r="I96" s="76">
        <f t="shared" si="88"/>
        <v>50816.93796000001</v>
      </c>
      <c r="J96" s="76">
        <f t="shared" si="88"/>
        <v>50816.93796000001</v>
      </c>
      <c r="K96" s="76">
        <f t="shared" si="88"/>
        <v>50816.93796000001</v>
      </c>
      <c r="L96" s="76">
        <f t="shared" si="88"/>
        <v>50816.93796000001</v>
      </c>
      <c r="M96" s="76">
        <f t="shared" si="88"/>
        <v>50816.93796000001</v>
      </c>
      <c r="N96" s="76">
        <f t="shared" si="83"/>
        <v>609803.25552000012</v>
      </c>
      <c r="Q96" s="273"/>
      <c r="R96" s="273"/>
      <c r="S96" s="274"/>
      <c r="T96" s="117"/>
      <c r="U96" s="117"/>
    </row>
    <row r="97" spans="1:21" ht="15" x14ac:dyDescent="0.2">
      <c r="A97" s="56" t="s">
        <v>263</v>
      </c>
      <c r="B97" s="76">
        <f>($T$75)*(11*30)</f>
        <v>34936.644847500007</v>
      </c>
      <c r="C97" s="76">
        <f t="shared" ref="C97:M97" si="89">($T$75)*(11*30)</f>
        <v>34936.644847500007</v>
      </c>
      <c r="D97" s="76">
        <f t="shared" si="89"/>
        <v>34936.644847500007</v>
      </c>
      <c r="E97" s="76">
        <f t="shared" si="89"/>
        <v>34936.644847500007</v>
      </c>
      <c r="F97" s="76">
        <f t="shared" si="89"/>
        <v>34936.644847500007</v>
      </c>
      <c r="G97" s="76">
        <f t="shared" si="89"/>
        <v>34936.644847500007</v>
      </c>
      <c r="H97" s="76">
        <f t="shared" si="89"/>
        <v>34936.644847500007</v>
      </c>
      <c r="I97" s="76">
        <f t="shared" si="89"/>
        <v>34936.644847500007</v>
      </c>
      <c r="J97" s="76">
        <f t="shared" si="89"/>
        <v>34936.644847500007</v>
      </c>
      <c r="K97" s="76">
        <f t="shared" si="89"/>
        <v>34936.644847500007</v>
      </c>
      <c r="L97" s="76">
        <f t="shared" si="89"/>
        <v>34936.644847500007</v>
      </c>
      <c r="M97" s="76">
        <f t="shared" si="89"/>
        <v>34936.644847500007</v>
      </c>
      <c r="N97" s="76">
        <f t="shared" si="83"/>
        <v>419239.7381700002</v>
      </c>
      <c r="Q97" s="273"/>
      <c r="R97" s="273"/>
      <c r="S97" s="274"/>
      <c r="T97" s="117"/>
      <c r="U97" s="117"/>
    </row>
    <row r="98" spans="1:21" ht="15" x14ac:dyDescent="0.2">
      <c r="A98" s="56" t="s">
        <v>262</v>
      </c>
      <c r="B98" s="76">
        <f>($T$76)*(5*30)</f>
        <v>59286.427620000024</v>
      </c>
      <c r="C98" s="76">
        <f t="shared" ref="C98:M98" si="90">($T$76)*(5*30)</f>
        <v>59286.427620000024</v>
      </c>
      <c r="D98" s="76">
        <f t="shared" si="90"/>
        <v>59286.427620000024</v>
      </c>
      <c r="E98" s="76">
        <f t="shared" si="90"/>
        <v>59286.427620000024</v>
      </c>
      <c r="F98" s="76">
        <f t="shared" si="90"/>
        <v>59286.427620000024</v>
      </c>
      <c r="G98" s="76">
        <f t="shared" si="90"/>
        <v>59286.427620000024</v>
      </c>
      <c r="H98" s="76">
        <f t="shared" si="90"/>
        <v>59286.427620000024</v>
      </c>
      <c r="I98" s="76">
        <f t="shared" si="90"/>
        <v>59286.427620000024</v>
      </c>
      <c r="J98" s="76">
        <f t="shared" si="90"/>
        <v>59286.427620000024</v>
      </c>
      <c r="K98" s="76">
        <f t="shared" si="90"/>
        <v>59286.427620000024</v>
      </c>
      <c r="L98" s="76">
        <f t="shared" si="90"/>
        <v>59286.427620000024</v>
      </c>
      <c r="M98" s="76">
        <f t="shared" si="90"/>
        <v>59286.427620000024</v>
      </c>
      <c r="N98" s="76">
        <f t="shared" si="83"/>
        <v>711437.13144000014</v>
      </c>
      <c r="Q98" s="273"/>
      <c r="R98" s="273"/>
      <c r="S98" s="274"/>
      <c r="T98" s="117"/>
      <c r="U98" s="117"/>
    </row>
    <row r="99" spans="1:21" ht="15" x14ac:dyDescent="0.2">
      <c r="A99" s="56" t="s">
        <v>261</v>
      </c>
      <c r="B99" s="76">
        <f>($T$77)*(5*30)</f>
        <v>50816.937960000025</v>
      </c>
      <c r="C99" s="76">
        <f t="shared" ref="C99:M99" si="91">($T$77)*(5*30)</f>
        <v>50816.937960000025</v>
      </c>
      <c r="D99" s="76">
        <f t="shared" si="91"/>
        <v>50816.937960000025</v>
      </c>
      <c r="E99" s="76">
        <f t="shared" si="91"/>
        <v>50816.937960000025</v>
      </c>
      <c r="F99" s="76">
        <f t="shared" si="91"/>
        <v>50816.937960000025</v>
      </c>
      <c r="G99" s="76">
        <f t="shared" si="91"/>
        <v>50816.937960000025</v>
      </c>
      <c r="H99" s="76">
        <f t="shared" si="91"/>
        <v>50816.937960000025</v>
      </c>
      <c r="I99" s="76">
        <f t="shared" si="91"/>
        <v>50816.937960000025</v>
      </c>
      <c r="J99" s="76">
        <f t="shared" si="91"/>
        <v>50816.937960000025</v>
      </c>
      <c r="K99" s="76">
        <f t="shared" si="91"/>
        <v>50816.937960000025</v>
      </c>
      <c r="L99" s="76">
        <f t="shared" si="91"/>
        <v>50816.937960000025</v>
      </c>
      <c r="M99" s="76">
        <f t="shared" si="91"/>
        <v>50816.937960000025</v>
      </c>
      <c r="N99" s="76">
        <f t="shared" si="83"/>
        <v>609803.25552000024</v>
      </c>
      <c r="Q99" s="273"/>
      <c r="R99" s="273"/>
      <c r="S99" s="274"/>
      <c r="T99" s="117"/>
      <c r="U99" s="117"/>
    </row>
    <row r="100" spans="1:21" ht="15" x14ac:dyDescent="0.2">
      <c r="A100" s="186" t="s">
        <v>265</v>
      </c>
      <c r="B100" s="76">
        <f>($T$78)*(56*30)</f>
        <v>37943.313676800004</v>
      </c>
      <c r="C100" s="76">
        <f t="shared" ref="C100:M100" si="92">($T$78)*(56*30)</f>
        <v>37943.313676800004</v>
      </c>
      <c r="D100" s="76">
        <f t="shared" si="92"/>
        <v>37943.313676800004</v>
      </c>
      <c r="E100" s="76">
        <f t="shared" si="92"/>
        <v>37943.313676800004</v>
      </c>
      <c r="F100" s="76">
        <f t="shared" si="92"/>
        <v>37943.313676800004</v>
      </c>
      <c r="G100" s="76">
        <f t="shared" si="92"/>
        <v>37943.313676800004</v>
      </c>
      <c r="H100" s="76">
        <f t="shared" si="92"/>
        <v>37943.313676800004</v>
      </c>
      <c r="I100" s="76">
        <f t="shared" si="92"/>
        <v>37943.313676800004</v>
      </c>
      <c r="J100" s="76">
        <f t="shared" si="92"/>
        <v>37943.313676800004</v>
      </c>
      <c r="K100" s="76">
        <f t="shared" si="92"/>
        <v>37943.313676800004</v>
      </c>
      <c r="L100" s="76">
        <f t="shared" si="92"/>
        <v>37943.313676800004</v>
      </c>
      <c r="M100" s="76">
        <f t="shared" si="92"/>
        <v>37943.313676800004</v>
      </c>
      <c r="N100" s="76">
        <f t="shared" si="83"/>
        <v>455319.76412160002</v>
      </c>
      <c r="Q100" s="273"/>
      <c r="R100" s="273"/>
      <c r="S100" s="274"/>
      <c r="T100" s="117"/>
      <c r="U100" s="117"/>
    </row>
    <row r="101" spans="1:21" ht="15" x14ac:dyDescent="0.2">
      <c r="A101" s="185" t="s">
        <v>273</v>
      </c>
      <c r="B101" s="76">
        <f>($T$79)*(56*30)</f>
        <v>37943.313676800004</v>
      </c>
      <c r="C101" s="76">
        <f t="shared" ref="C101:M101" si="93">($T$79)*(56*30)</f>
        <v>37943.313676800004</v>
      </c>
      <c r="D101" s="76">
        <f t="shared" si="93"/>
        <v>37943.313676800004</v>
      </c>
      <c r="E101" s="76">
        <f t="shared" si="93"/>
        <v>37943.313676800004</v>
      </c>
      <c r="F101" s="76">
        <f t="shared" si="93"/>
        <v>37943.313676800004</v>
      </c>
      <c r="G101" s="76">
        <f t="shared" si="93"/>
        <v>37943.313676800004</v>
      </c>
      <c r="H101" s="76">
        <f t="shared" si="93"/>
        <v>37943.313676800004</v>
      </c>
      <c r="I101" s="76">
        <f t="shared" si="93"/>
        <v>37943.313676800004</v>
      </c>
      <c r="J101" s="76">
        <f t="shared" si="93"/>
        <v>37943.313676800004</v>
      </c>
      <c r="K101" s="76">
        <f t="shared" si="93"/>
        <v>37943.313676800004</v>
      </c>
      <c r="L101" s="76">
        <f t="shared" si="93"/>
        <v>37943.313676800004</v>
      </c>
      <c r="M101" s="76">
        <f t="shared" si="93"/>
        <v>37943.313676800004</v>
      </c>
      <c r="N101" s="76">
        <f t="shared" si="83"/>
        <v>455319.76412160002</v>
      </c>
      <c r="Q101" s="273"/>
      <c r="R101" s="273"/>
      <c r="S101" s="274"/>
      <c r="T101" s="117"/>
      <c r="U101" s="117"/>
    </row>
    <row r="102" spans="1:21" ht="15" x14ac:dyDescent="0.2">
      <c r="A102" s="185" t="s">
        <v>272</v>
      </c>
      <c r="B102" s="76">
        <f>($T$80)*(51*30)</f>
        <v>34555.517812800004</v>
      </c>
      <c r="C102" s="76">
        <f t="shared" ref="C102:M102" si="94">($T$80)*(51*30)</f>
        <v>34555.517812800004</v>
      </c>
      <c r="D102" s="76">
        <f t="shared" si="94"/>
        <v>34555.517812800004</v>
      </c>
      <c r="E102" s="76">
        <f t="shared" si="94"/>
        <v>34555.517812800004</v>
      </c>
      <c r="F102" s="76">
        <f t="shared" si="94"/>
        <v>34555.517812800004</v>
      </c>
      <c r="G102" s="76">
        <f t="shared" si="94"/>
        <v>34555.517812800004</v>
      </c>
      <c r="H102" s="76">
        <f t="shared" si="94"/>
        <v>34555.517812800004</v>
      </c>
      <c r="I102" s="76">
        <f t="shared" si="94"/>
        <v>34555.517812800004</v>
      </c>
      <c r="J102" s="76">
        <f t="shared" si="94"/>
        <v>34555.517812800004</v>
      </c>
      <c r="K102" s="76">
        <f t="shared" si="94"/>
        <v>34555.517812800004</v>
      </c>
      <c r="L102" s="76">
        <f t="shared" si="94"/>
        <v>34555.517812800004</v>
      </c>
      <c r="M102" s="76">
        <f t="shared" si="94"/>
        <v>34555.517812800004</v>
      </c>
      <c r="N102" s="76">
        <f t="shared" si="83"/>
        <v>414666.21375360008</v>
      </c>
      <c r="Q102" s="273"/>
      <c r="R102" s="273"/>
      <c r="S102" s="274"/>
      <c r="T102" s="117"/>
      <c r="U102" s="117"/>
    </row>
    <row r="103" spans="1:21" ht="15" x14ac:dyDescent="0.2">
      <c r="A103" s="185" t="s">
        <v>264</v>
      </c>
      <c r="B103" s="76">
        <f>($T$81)*(78*30)</f>
        <v>52849.61547840001</v>
      </c>
      <c r="C103" s="76">
        <f t="shared" ref="C103:M103" si="95">($T$81)*(78*30)</f>
        <v>52849.61547840001</v>
      </c>
      <c r="D103" s="76">
        <f t="shared" si="95"/>
        <v>52849.61547840001</v>
      </c>
      <c r="E103" s="76">
        <f t="shared" si="95"/>
        <v>52849.61547840001</v>
      </c>
      <c r="F103" s="76">
        <f t="shared" si="95"/>
        <v>52849.61547840001</v>
      </c>
      <c r="G103" s="76">
        <f t="shared" si="95"/>
        <v>52849.61547840001</v>
      </c>
      <c r="H103" s="76">
        <f t="shared" si="95"/>
        <v>52849.61547840001</v>
      </c>
      <c r="I103" s="76">
        <f t="shared" si="95"/>
        <v>52849.61547840001</v>
      </c>
      <c r="J103" s="76">
        <f t="shared" si="95"/>
        <v>52849.61547840001</v>
      </c>
      <c r="K103" s="76">
        <f t="shared" si="95"/>
        <v>52849.61547840001</v>
      </c>
      <c r="L103" s="76">
        <f t="shared" si="95"/>
        <v>52849.61547840001</v>
      </c>
      <c r="M103" s="76">
        <f t="shared" si="95"/>
        <v>52849.61547840001</v>
      </c>
      <c r="N103" s="76">
        <f t="shared" si="83"/>
        <v>634195.38574080018</v>
      </c>
      <c r="Q103" s="273"/>
      <c r="R103" s="273"/>
      <c r="S103" s="274"/>
      <c r="T103" s="117"/>
      <c r="U103" s="117"/>
    </row>
    <row r="104" spans="1:21" ht="15.75" x14ac:dyDescent="0.25">
      <c r="A104" s="80" t="s">
        <v>87</v>
      </c>
      <c r="B104" s="57">
        <f>SUM(B91:B103)</f>
        <v>1864431.1063041002</v>
      </c>
      <c r="C104" s="57">
        <f t="shared" ref="C104:M104" si="96">SUM(C91:C103)</f>
        <v>1864431.1063041002</v>
      </c>
      <c r="D104" s="57">
        <f t="shared" si="96"/>
        <v>1864431.1063041002</v>
      </c>
      <c r="E104" s="57">
        <f t="shared" si="96"/>
        <v>1864431.1063041002</v>
      </c>
      <c r="F104" s="57">
        <f t="shared" si="96"/>
        <v>1864431.1063041002</v>
      </c>
      <c r="G104" s="57">
        <f t="shared" si="96"/>
        <v>1864431.1063041002</v>
      </c>
      <c r="H104" s="57">
        <f t="shared" si="96"/>
        <v>1864431.1063041002</v>
      </c>
      <c r="I104" s="57">
        <f t="shared" si="96"/>
        <v>1864431.1063041002</v>
      </c>
      <c r="J104" s="57">
        <f t="shared" si="96"/>
        <v>1864431.1063041002</v>
      </c>
      <c r="K104" s="57">
        <f t="shared" si="96"/>
        <v>1864431.1063041002</v>
      </c>
      <c r="L104" s="57">
        <f t="shared" si="96"/>
        <v>1864431.1063041002</v>
      </c>
      <c r="M104" s="57">
        <f t="shared" si="96"/>
        <v>1864431.1063041002</v>
      </c>
      <c r="N104" s="543">
        <f>(B104+C104+D104+E104+F104+G104)+(H104+I104+J104+K104+L104+M104)*1.36</f>
        <v>26400344.465266056</v>
      </c>
      <c r="U104" s="117"/>
    </row>
  </sheetData>
  <mergeCells count="6">
    <mergeCell ref="B88:N88"/>
    <mergeCell ref="P68:T68"/>
    <mergeCell ref="B8:N8"/>
    <mergeCell ref="B28:N28"/>
    <mergeCell ref="B48:N48"/>
    <mergeCell ref="B68:N68"/>
  </mergeCells>
  <pageMargins left="0.75" right="0.75" top="1" bottom="1" header="0" footer="0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8EB8-BB38-A342-95C6-5A625765ABBD}">
  <dimension ref="A1:L26"/>
  <sheetViews>
    <sheetView topLeftCell="A2" zoomScale="83" workbookViewId="0">
      <selection activeCell="D14" sqref="D14"/>
    </sheetView>
  </sheetViews>
  <sheetFormatPr baseColWidth="10" defaultColWidth="11.42578125" defaultRowHeight="12.75" x14ac:dyDescent="0.2"/>
  <cols>
    <col min="1" max="1" width="40.5703125" customWidth="1"/>
    <col min="2" max="2" width="14.42578125" customWidth="1"/>
    <col min="3" max="4" width="22.7109375" customWidth="1"/>
    <col min="5" max="5" width="29.42578125" bestFit="1" customWidth="1"/>
    <col min="6" max="6" width="35.42578125" customWidth="1"/>
    <col min="7" max="7" width="18.85546875" customWidth="1"/>
    <col min="8" max="8" width="17" customWidth="1"/>
  </cols>
  <sheetData>
    <row r="1" spans="1:8" ht="18" x14ac:dyDescent="0.25">
      <c r="A1" s="39" t="s">
        <v>91</v>
      </c>
    </row>
    <row r="3" spans="1:8" ht="15.75" x14ac:dyDescent="0.25">
      <c r="A3" s="2" t="s">
        <v>14</v>
      </c>
    </row>
    <row r="4" spans="1:8" ht="15.75" x14ac:dyDescent="0.25">
      <c r="A4" s="2" t="s">
        <v>15</v>
      </c>
    </row>
    <row r="7" spans="1:8" ht="15.75" x14ac:dyDescent="0.25">
      <c r="A7" s="539" t="s">
        <v>92</v>
      </c>
      <c r="B7" s="540" t="s">
        <v>93</v>
      </c>
      <c r="C7" s="540" t="s">
        <v>94</v>
      </c>
      <c r="D7" s="540" t="s">
        <v>95</v>
      </c>
      <c r="E7" s="540" t="s">
        <v>96</v>
      </c>
      <c r="F7" s="540" t="s">
        <v>97</v>
      </c>
      <c r="G7" s="540" t="s">
        <v>98</v>
      </c>
      <c r="H7" s="541" t="s">
        <v>99</v>
      </c>
    </row>
    <row r="8" spans="1:8" ht="15" x14ac:dyDescent="0.2">
      <c r="A8" s="241" t="s">
        <v>225</v>
      </c>
      <c r="B8" s="237">
        <v>500000</v>
      </c>
      <c r="C8" s="239">
        <v>20</v>
      </c>
      <c r="D8" s="243">
        <v>0.05</v>
      </c>
      <c r="E8" s="245">
        <f>B8*D8</f>
        <v>25000</v>
      </c>
      <c r="F8" s="245">
        <f>E8/12</f>
        <v>2083.3333333333335</v>
      </c>
      <c r="G8" s="246">
        <f>E8*3</f>
        <v>75000</v>
      </c>
      <c r="H8" s="247">
        <f>B8-G8</f>
        <v>425000</v>
      </c>
    </row>
    <row r="9" spans="1:8" ht="15" x14ac:dyDescent="0.2">
      <c r="A9" s="4" t="s">
        <v>226</v>
      </c>
      <c r="B9" s="237">
        <v>820000</v>
      </c>
      <c r="C9" s="239" t="s">
        <v>237</v>
      </c>
      <c r="D9" s="244">
        <v>0</v>
      </c>
      <c r="E9" s="245">
        <f t="shared" ref="E9:E13" si="0">B9*D9</f>
        <v>0</v>
      </c>
      <c r="F9" s="245">
        <f t="shared" ref="F9:F12" si="1">E9/12</f>
        <v>0</v>
      </c>
      <c r="G9" s="246">
        <f t="shared" ref="G9:G13" si="2">E9*3</f>
        <v>0</v>
      </c>
      <c r="H9" s="247">
        <f t="shared" ref="H9:H13" si="3">B9-G9</f>
        <v>820000</v>
      </c>
    </row>
    <row r="10" spans="1:8" ht="18.75" customHeight="1" x14ac:dyDescent="0.2">
      <c r="A10" s="4" t="s">
        <v>238</v>
      </c>
      <c r="B10" s="237">
        <v>18348.88</v>
      </c>
      <c r="C10" s="239">
        <v>10</v>
      </c>
      <c r="D10" s="244">
        <v>0.1</v>
      </c>
      <c r="E10" s="245">
        <f t="shared" si="0"/>
        <v>1834.8880000000001</v>
      </c>
      <c r="F10" s="245">
        <f t="shared" si="1"/>
        <v>152.90733333333336</v>
      </c>
      <c r="G10" s="246">
        <f t="shared" si="2"/>
        <v>5504.6640000000007</v>
      </c>
      <c r="H10" s="247">
        <f t="shared" si="3"/>
        <v>12844.216</v>
      </c>
    </row>
    <row r="11" spans="1:8" ht="18" customHeight="1" x14ac:dyDescent="0.2">
      <c r="A11" s="4" t="s">
        <v>227</v>
      </c>
      <c r="B11" s="237">
        <v>79020</v>
      </c>
      <c r="C11" s="239">
        <v>10</v>
      </c>
      <c r="D11" s="244">
        <v>0.1</v>
      </c>
      <c r="E11" s="245">
        <f t="shared" si="0"/>
        <v>7902</v>
      </c>
      <c r="F11" s="245">
        <f t="shared" si="1"/>
        <v>658.5</v>
      </c>
      <c r="G11" s="246">
        <f t="shared" si="2"/>
        <v>23706</v>
      </c>
      <c r="H11" s="247">
        <f t="shared" si="3"/>
        <v>55314</v>
      </c>
    </row>
    <row r="12" spans="1:8" ht="15" x14ac:dyDescent="0.2">
      <c r="A12" s="4" t="s">
        <v>228</v>
      </c>
      <c r="B12" s="237">
        <v>85649.84</v>
      </c>
      <c r="C12" s="239">
        <v>10</v>
      </c>
      <c r="D12" s="244">
        <v>0.1</v>
      </c>
      <c r="E12" s="245">
        <f t="shared" si="0"/>
        <v>8564.9840000000004</v>
      </c>
      <c r="F12" s="245">
        <f t="shared" si="1"/>
        <v>713.74866666666674</v>
      </c>
      <c r="G12" s="246">
        <f t="shared" si="2"/>
        <v>25694.952000000001</v>
      </c>
      <c r="H12" s="247">
        <f t="shared" si="3"/>
        <v>59954.887999999992</v>
      </c>
    </row>
    <row r="13" spans="1:8" ht="18" customHeight="1" x14ac:dyDescent="0.2">
      <c r="A13" s="4" t="s">
        <v>229</v>
      </c>
      <c r="B13" s="237">
        <f>'CUADRO DE INVERSION'!F29</f>
        <v>3626.12</v>
      </c>
      <c r="C13" s="239">
        <v>10</v>
      </c>
      <c r="D13" s="244">
        <v>0.1</v>
      </c>
      <c r="E13" s="245">
        <f t="shared" si="0"/>
        <v>362.61200000000002</v>
      </c>
      <c r="F13" s="245">
        <f>E13/12</f>
        <v>30.21766666666667</v>
      </c>
      <c r="G13" s="246">
        <f t="shared" si="2"/>
        <v>1087.836</v>
      </c>
      <c r="H13" s="247">
        <f t="shared" si="3"/>
        <v>2538.2839999999997</v>
      </c>
    </row>
    <row r="14" spans="1:8" ht="15" x14ac:dyDescent="0.2">
      <c r="A14" s="72"/>
      <c r="B14" s="68">
        <f>SUM(B10:B13)</f>
        <v>186644.84</v>
      </c>
      <c r="C14" s="240"/>
      <c r="D14" s="240"/>
      <c r="E14" s="240"/>
      <c r="F14" s="240"/>
      <c r="H14" s="109">
        <f>SUM(H8:H13)</f>
        <v>1375651.388</v>
      </c>
    </row>
    <row r="15" spans="1:8" ht="15" x14ac:dyDescent="0.2">
      <c r="A15" s="11"/>
      <c r="B15" s="68"/>
      <c r="C15" s="240"/>
      <c r="D15" s="240"/>
      <c r="E15" s="240"/>
      <c r="F15" s="240"/>
    </row>
    <row r="16" spans="1:8" ht="15.75" x14ac:dyDescent="0.25">
      <c r="A16" s="539" t="s">
        <v>100</v>
      </c>
      <c r="B16" s="540"/>
      <c r="C16" s="540" t="s">
        <v>94</v>
      </c>
      <c r="D16" s="540" t="s">
        <v>95</v>
      </c>
      <c r="E16" s="540" t="s">
        <v>96</v>
      </c>
      <c r="F16" s="540" t="s">
        <v>97</v>
      </c>
      <c r="G16" s="540" t="s">
        <v>98</v>
      </c>
      <c r="H16" s="541" t="s">
        <v>99</v>
      </c>
    </row>
    <row r="17" spans="1:12" ht="15" x14ac:dyDescent="0.2">
      <c r="A17" s="242" t="s">
        <v>230</v>
      </c>
      <c r="B17" s="238">
        <v>119816.32000000001</v>
      </c>
      <c r="C17" s="239">
        <v>15</v>
      </c>
      <c r="D17" s="244">
        <v>0.1</v>
      </c>
      <c r="E17" s="245">
        <f>B17*D17</f>
        <v>11981.632000000001</v>
      </c>
      <c r="F17" s="245">
        <f>E17/12</f>
        <v>998.46933333333345</v>
      </c>
      <c r="G17" s="246">
        <f>E17*3</f>
        <v>35944.896000000008</v>
      </c>
      <c r="H17" s="247">
        <f>B17-G17</f>
        <v>83871.423999999999</v>
      </c>
    </row>
    <row r="18" spans="1:12" ht="15" x14ac:dyDescent="0.2">
      <c r="A18" s="4" t="s">
        <v>231</v>
      </c>
      <c r="B18" s="238">
        <v>84760</v>
      </c>
      <c r="C18" s="239">
        <v>15</v>
      </c>
      <c r="D18" s="244">
        <v>0.1</v>
      </c>
      <c r="E18" s="245">
        <f t="shared" ref="E18:E24" si="4">B18*D18</f>
        <v>8476</v>
      </c>
      <c r="F18" s="245">
        <f t="shared" ref="F18:F23" si="5">E18/12</f>
        <v>706.33333333333337</v>
      </c>
      <c r="G18" s="246">
        <f t="shared" ref="G18:G23" si="6">E18*3</f>
        <v>25428</v>
      </c>
      <c r="H18" s="247">
        <f t="shared" ref="H18:H23" si="7">B18-G18</f>
        <v>59332</v>
      </c>
    </row>
    <row r="19" spans="1:12" ht="15" x14ac:dyDescent="0.2">
      <c r="A19" s="4" t="s">
        <v>232</v>
      </c>
      <c r="B19" s="238">
        <v>8131.73</v>
      </c>
      <c r="C19" s="239">
        <v>5</v>
      </c>
      <c r="D19" s="244">
        <v>0.1</v>
      </c>
      <c r="E19" s="245">
        <f t="shared" si="4"/>
        <v>813.173</v>
      </c>
      <c r="F19" s="245">
        <f t="shared" si="5"/>
        <v>67.764416666666662</v>
      </c>
      <c r="G19" s="246">
        <f t="shared" si="6"/>
        <v>2439.5190000000002</v>
      </c>
      <c r="H19" s="247">
        <f t="shared" si="7"/>
        <v>5692.2109999999993</v>
      </c>
    </row>
    <row r="20" spans="1:12" ht="15" x14ac:dyDescent="0.2">
      <c r="A20" s="4" t="s">
        <v>233</v>
      </c>
      <c r="B20" s="238">
        <v>21888.5</v>
      </c>
      <c r="C20" s="239">
        <v>5</v>
      </c>
      <c r="D20" s="244">
        <v>0.1</v>
      </c>
      <c r="E20" s="245">
        <f t="shared" si="4"/>
        <v>2188.85</v>
      </c>
      <c r="F20" s="245">
        <f t="shared" si="5"/>
        <v>182.40416666666667</v>
      </c>
      <c r="G20" s="246">
        <f t="shared" si="6"/>
        <v>6566.5499999999993</v>
      </c>
      <c r="H20" s="247">
        <f t="shared" si="7"/>
        <v>15321.95</v>
      </c>
    </row>
    <row r="21" spans="1:12" ht="15" x14ac:dyDescent="0.2">
      <c r="A21" s="4" t="s">
        <v>234</v>
      </c>
      <c r="B21" s="238">
        <v>58271.44</v>
      </c>
      <c r="C21" s="239">
        <v>15</v>
      </c>
      <c r="D21" s="244">
        <v>0.1</v>
      </c>
      <c r="E21" s="245">
        <f t="shared" si="4"/>
        <v>5827.1440000000002</v>
      </c>
      <c r="F21" s="245">
        <f t="shared" si="5"/>
        <v>485.59533333333337</v>
      </c>
      <c r="G21" s="246">
        <f t="shared" si="6"/>
        <v>17481.432000000001</v>
      </c>
      <c r="H21" s="247">
        <f t="shared" si="7"/>
        <v>40790.008000000002</v>
      </c>
    </row>
    <row r="22" spans="1:12" ht="15" x14ac:dyDescent="0.2">
      <c r="A22" s="4" t="s">
        <v>235</v>
      </c>
      <c r="B22" s="238">
        <v>35398.559999999998</v>
      </c>
      <c r="C22" s="239">
        <v>20</v>
      </c>
      <c r="D22" s="244">
        <v>0.1</v>
      </c>
      <c r="E22" s="245">
        <f t="shared" si="4"/>
        <v>3539.8559999999998</v>
      </c>
      <c r="F22" s="245">
        <f t="shared" si="5"/>
        <v>294.988</v>
      </c>
      <c r="G22" s="246">
        <f t="shared" si="6"/>
        <v>10619.567999999999</v>
      </c>
      <c r="H22" s="247">
        <f t="shared" si="7"/>
        <v>24778.991999999998</v>
      </c>
    </row>
    <row r="23" spans="1:12" ht="15" x14ac:dyDescent="0.2">
      <c r="A23" s="4" t="s">
        <v>236</v>
      </c>
      <c r="B23" s="238">
        <f>'CUADRO DE INVERSION'!G30</f>
        <v>3599</v>
      </c>
      <c r="C23" s="248">
        <v>3.3333333333333335</v>
      </c>
      <c r="D23" s="244">
        <v>0.3</v>
      </c>
      <c r="E23" s="245">
        <f t="shared" si="4"/>
        <v>1079.7</v>
      </c>
      <c r="F23" s="245">
        <f t="shared" si="5"/>
        <v>89.975000000000009</v>
      </c>
      <c r="G23" s="246">
        <f t="shared" si="6"/>
        <v>3239.1000000000004</v>
      </c>
      <c r="H23" s="247">
        <f t="shared" si="7"/>
        <v>359.89999999999964</v>
      </c>
      <c r="L23" t="s">
        <v>269</v>
      </c>
    </row>
    <row r="24" spans="1:12" ht="15.75" x14ac:dyDescent="0.25">
      <c r="A24" s="283" t="s">
        <v>372</v>
      </c>
      <c r="B24" s="238">
        <f>'CUADRO DE INVERSION'!F31</f>
        <v>4590</v>
      </c>
      <c r="C24" s="248">
        <v>4.3333333333333304</v>
      </c>
      <c r="D24" s="244">
        <v>0.3</v>
      </c>
      <c r="E24" s="245">
        <f t="shared" si="4"/>
        <v>1377</v>
      </c>
      <c r="F24" s="245">
        <f>E24/12</f>
        <v>114.75</v>
      </c>
      <c r="G24" s="246">
        <f t="shared" ref="G24" si="8">E24*3</f>
        <v>4131</v>
      </c>
      <c r="H24" s="247">
        <f t="shared" ref="H24" si="9">B24-G24</f>
        <v>459</v>
      </c>
    </row>
    <row r="25" spans="1:12" x14ac:dyDescent="0.2">
      <c r="B25" s="109">
        <f>SUM(B17:B23)</f>
        <v>331865.55</v>
      </c>
      <c r="H25" s="236">
        <f>SUM(H17:H23)</f>
        <v>230146.48500000002</v>
      </c>
    </row>
    <row r="26" spans="1:12" ht="15" x14ac:dyDescent="0.2">
      <c r="E26" s="538">
        <f>SUM(E8:E13)+SUM(E17:E24)</f>
        <v>78947.839000000007</v>
      </c>
    </row>
  </sheetData>
  <pageMargins left="0.75" right="0.75" top="1" bottom="1" header="0" footer="0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C61A-C346-4F81-961A-EBFFABFD925E}">
  <dimension ref="A1:J56"/>
  <sheetViews>
    <sheetView topLeftCell="A29" zoomScale="85" zoomScaleNormal="85" workbookViewId="0">
      <selection activeCell="H46" sqref="H46"/>
    </sheetView>
  </sheetViews>
  <sheetFormatPr baseColWidth="10" defaultRowHeight="15" x14ac:dyDescent="0.25"/>
  <cols>
    <col min="1" max="1" width="11.42578125" style="288"/>
    <col min="2" max="2" width="13.28515625" style="288" bestFit="1" customWidth="1"/>
    <col min="3" max="3" width="11.42578125" style="288"/>
    <col min="4" max="4" width="11.140625" style="288" bestFit="1" customWidth="1"/>
    <col min="5" max="5" width="13.7109375" style="288" bestFit="1" customWidth="1"/>
    <col min="6" max="6" width="12.7109375" style="288" bestFit="1" customWidth="1"/>
    <col min="7" max="7" width="11.42578125" style="288"/>
    <col min="8" max="8" width="12.7109375" style="288" bestFit="1" customWidth="1"/>
    <col min="9" max="9" width="22.5703125" style="288" bestFit="1" customWidth="1"/>
    <col min="10" max="10" width="13.140625" style="288" bestFit="1" customWidth="1"/>
    <col min="11" max="16384" width="11.42578125" style="288"/>
  </cols>
  <sheetData>
    <row r="1" spans="1:10" ht="18" x14ac:dyDescent="0.25">
      <c r="A1" s="317" t="s">
        <v>101</v>
      </c>
      <c r="B1" s="317"/>
      <c r="I1" s="316"/>
      <c r="J1" s="316"/>
    </row>
    <row r="2" spans="1:10" x14ac:dyDescent="0.25">
      <c r="I2" s="527" t="s">
        <v>370</v>
      </c>
      <c r="J2" s="315">
        <v>36</v>
      </c>
    </row>
    <row r="3" spans="1:10" ht="15.75" x14ac:dyDescent="0.25">
      <c r="A3" s="312" t="s">
        <v>14</v>
      </c>
      <c r="B3" s="312"/>
      <c r="C3" s="312" t="s">
        <v>369</v>
      </c>
      <c r="D3" s="312"/>
      <c r="E3" s="312"/>
      <c r="F3" s="312"/>
      <c r="G3" s="311"/>
      <c r="H3" s="311"/>
      <c r="I3" s="527" t="s">
        <v>386</v>
      </c>
      <c r="J3" s="307">
        <v>0.219</v>
      </c>
    </row>
    <row r="4" spans="1:10" ht="15.75" x14ac:dyDescent="0.25">
      <c r="A4" s="312" t="s">
        <v>15</v>
      </c>
      <c r="B4" s="312"/>
      <c r="C4" s="312" t="s">
        <v>303</v>
      </c>
      <c r="D4" s="672"/>
      <c r="E4" s="672"/>
      <c r="F4" s="672"/>
      <c r="G4" s="311"/>
      <c r="H4" s="311"/>
      <c r="I4" s="528" t="s">
        <v>385</v>
      </c>
      <c r="J4" s="314">
        <f>J3/12</f>
        <v>1.8249999999999999E-2</v>
      </c>
    </row>
    <row r="5" spans="1:10" ht="15.75" x14ac:dyDescent="0.25">
      <c r="A5" s="312" t="s">
        <v>16</v>
      </c>
      <c r="B5" s="312"/>
      <c r="C5" s="312" t="s">
        <v>369</v>
      </c>
      <c r="D5" s="313"/>
      <c r="E5" s="313"/>
      <c r="F5" s="312"/>
      <c r="G5" s="311"/>
      <c r="H5" s="311"/>
      <c r="I5" s="528" t="s">
        <v>384</v>
      </c>
      <c r="J5" s="310">
        <f>'CUADRO DE INVERSION'!C10</f>
        <v>1127676.7100000004</v>
      </c>
    </row>
    <row r="6" spans="1:10" ht="15.75" x14ac:dyDescent="0.25">
      <c r="A6" s="673" t="s">
        <v>383</v>
      </c>
      <c r="B6" s="673"/>
      <c r="C6" s="673"/>
      <c r="D6" s="673"/>
      <c r="E6" s="673"/>
      <c r="F6" s="673"/>
      <c r="G6" s="673"/>
      <c r="H6" s="673"/>
      <c r="I6" s="673"/>
      <c r="J6" s="673"/>
    </row>
    <row r="7" spans="1:10" x14ac:dyDescent="0.25">
      <c r="C7" s="309"/>
      <c r="D7" s="309"/>
      <c r="E7" s="309"/>
      <c r="F7" s="309"/>
      <c r="G7" s="309"/>
      <c r="H7" s="309"/>
      <c r="J7" s="309"/>
    </row>
    <row r="8" spans="1:10" ht="38.25" x14ac:dyDescent="0.25">
      <c r="A8" s="529" t="s">
        <v>78</v>
      </c>
      <c r="B8" s="529" t="s">
        <v>382</v>
      </c>
      <c r="C8" s="529" t="s">
        <v>381</v>
      </c>
      <c r="D8" s="529" t="s">
        <v>371</v>
      </c>
      <c r="E8" s="529" t="s">
        <v>380</v>
      </c>
      <c r="F8" s="529" t="s">
        <v>102</v>
      </c>
      <c r="G8" s="529" t="s">
        <v>379</v>
      </c>
      <c r="H8" s="529" t="s">
        <v>378</v>
      </c>
      <c r="I8" s="529" t="s">
        <v>348</v>
      </c>
      <c r="J8" s="533" t="s">
        <v>377</v>
      </c>
    </row>
    <row r="9" spans="1:10" x14ac:dyDescent="0.25">
      <c r="A9" s="308">
        <v>1</v>
      </c>
      <c r="B9" s="301">
        <f>$H$45</f>
        <v>1508408.5592137503</v>
      </c>
      <c r="C9" s="307">
        <f t="shared" ref="C9:C44" si="0">$J$3/12</f>
        <v>1.8249999999999999E-2</v>
      </c>
      <c r="D9" s="304">
        <f>J5*$C$9</f>
        <v>20580.099957500006</v>
      </c>
      <c r="E9" s="303">
        <f>J5+D9</f>
        <v>1148256.8099575005</v>
      </c>
      <c r="F9" s="306">
        <f t="shared" ref="F9:F44" si="1">$J$5/36</f>
        <v>31324.353055555566</v>
      </c>
      <c r="G9" s="305">
        <f t="shared" ref="G9:G44" si="2">D9</f>
        <v>20580.099957500006</v>
      </c>
      <c r="H9" s="304">
        <f t="shared" ref="H9:H44" si="3">G9+F9</f>
        <v>51904.453013055572</v>
      </c>
      <c r="I9" s="303">
        <f>E9-H9</f>
        <v>1096352.3569444451</v>
      </c>
      <c r="J9" s="534"/>
    </row>
    <row r="10" spans="1:10" x14ac:dyDescent="0.25">
      <c r="A10" s="308">
        <v>2</v>
      </c>
      <c r="B10" s="301">
        <f t="shared" ref="B10:B44" si="4">$H$45</f>
        <v>1508408.5592137503</v>
      </c>
      <c r="C10" s="307">
        <f t="shared" si="0"/>
        <v>1.8249999999999999E-2</v>
      </c>
      <c r="D10" s="304">
        <f t="shared" ref="D10:D44" si="5">I9*$C$9</f>
        <v>20008.430514236123</v>
      </c>
      <c r="E10" s="304">
        <f t="shared" ref="E10:E44" si="6">I9+D10</f>
        <v>1116360.7874586813</v>
      </c>
      <c r="F10" s="306">
        <f t="shared" si="1"/>
        <v>31324.353055555566</v>
      </c>
      <c r="G10" s="305">
        <f t="shared" si="2"/>
        <v>20008.430514236123</v>
      </c>
      <c r="H10" s="304">
        <f t="shared" si="3"/>
        <v>51332.783569791689</v>
      </c>
      <c r="I10" s="303">
        <f t="shared" ref="I10:I44" si="7">I9-F10</f>
        <v>1065028.0038888894</v>
      </c>
      <c r="J10" s="535"/>
    </row>
    <row r="11" spans="1:10" x14ac:dyDescent="0.25">
      <c r="A11" s="308">
        <v>3</v>
      </c>
      <c r="B11" s="301">
        <f t="shared" si="4"/>
        <v>1508408.5592137503</v>
      </c>
      <c r="C11" s="307">
        <f t="shared" si="0"/>
        <v>1.8249999999999999E-2</v>
      </c>
      <c r="D11" s="304">
        <f t="shared" si="5"/>
        <v>19436.761070972232</v>
      </c>
      <c r="E11" s="304">
        <f t="shared" si="6"/>
        <v>1084464.7649598618</v>
      </c>
      <c r="F11" s="306">
        <f t="shared" si="1"/>
        <v>31324.353055555566</v>
      </c>
      <c r="G11" s="305">
        <f t="shared" si="2"/>
        <v>19436.761070972232</v>
      </c>
      <c r="H11" s="304">
        <f t="shared" si="3"/>
        <v>50761.114126527798</v>
      </c>
      <c r="I11" s="303">
        <f t="shared" si="7"/>
        <v>1033703.6508333338</v>
      </c>
      <c r="J11" s="536"/>
    </row>
    <row r="12" spans="1:10" x14ac:dyDescent="0.25">
      <c r="A12" s="308">
        <v>4</v>
      </c>
      <c r="B12" s="301">
        <f t="shared" si="4"/>
        <v>1508408.5592137503</v>
      </c>
      <c r="C12" s="307">
        <f t="shared" si="0"/>
        <v>1.8249999999999999E-2</v>
      </c>
      <c r="D12" s="304">
        <f t="shared" si="5"/>
        <v>18865.091627708342</v>
      </c>
      <c r="E12" s="304">
        <f t="shared" si="6"/>
        <v>1052568.7424610422</v>
      </c>
      <c r="F12" s="306">
        <f t="shared" si="1"/>
        <v>31324.353055555566</v>
      </c>
      <c r="G12" s="305">
        <f t="shared" si="2"/>
        <v>18865.091627708342</v>
      </c>
      <c r="H12" s="304">
        <f t="shared" si="3"/>
        <v>50189.444683263908</v>
      </c>
      <c r="I12" s="303">
        <f t="shared" si="7"/>
        <v>1002379.2977777782</v>
      </c>
      <c r="J12" s="535"/>
    </row>
    <row r="13" spans="1:10" x14ac:dyDescent="0.25">
      <c r="A13" s="308">
        <v>5</v>
      </c>
      <c r="B13" s="301">
        <f t="shared" si="4"/>
        <v>1508408.5592137503</v>
      </c>
      <c r="C13" s="307">
        <f t="shared" si="0"/>
        <v>1.8249999999999999E-2</v>
      </c>
      <c r="D13" s="304">
        <f t="shared" si="5"/>
        <v>18293.422184444451</v>
      </c>
      <c r="E13" s="304">
        <f t="shared" si="6"/>
        <v>1020672.7199622227</v>
      </c>
      <c r="F13" s="306">
        <f t="shared" si="1"/>
        <v>31324.353055555566</v>
      </c>
      <c r="G13" s="305">
        <f t="shared" si="2"/>
        <v>18293.422184444451</v>
      </c>
      <c r="H13" s="304">
        <f t="shared" si="3"/>
        <v>49617.775240000017</v>
      </c>
      <c r="I13" s="303">
        <f t="shared" si="7"/>
        <v>971054.94472222263</v>
      </c>
      <c r="J13" s="535"/>
    </row>
    <row r="14" spans="1:10" x14ac:dyDescent="0.25">
      <c r="A14" s="308">
        <v>6</v>
      </c>
      <c r="B14" s="301">
        <f t="shared" si="4"/>
        <v>1508408.5592137503</v>
      </c>
      <c r="C14" s="307">
        <f t="shared" si="0"/>
        <v>1.8249999999999999E-2</v>
      </c>
      <c r="D14" s="304">
        <f t="shared" si="5"/>
        <v>17721.75274118056</v>
      </c>
      <c r="E14" s="304">
        <f t="shared" si="6"/>
        <v>988776.69746340322</v>
      </c>
      <c r="F14" s="306">
        <f t="shared" si="1"/>
        <v>31324.353055555566</v>
      </c>
      <c r="G14" s="305">
        <f t="shared" si="2"/>
        <v>17721.75274118056</v>
      </c>
      <c r="H14" s="304">
        <f t="shared" si="3"/>
        <v>49046.105796736127</v>
      </c>
      <c r="I14" s="303">
        <f t="shared" si="7"/>
        <v>939730.59166666702</v>
      </c>
      <c r="J14" s="535"/>
    </row>
    <row r="15" spans="1:10" x14ac:dyDescent="0.25">
      <c r="A15" s="308">
        <v>7</v>
      </c>
      <c r="B15" s="301">
        <f t="shared" si="4"/>
        <v>1508408.5592137503</v>
      </c>
      <c r="C15" s="307">
        <f t="shared" si="0"/>
        <v>1.8249999999999999E-2</v>
      </c>
      <c r="D15" s="304">
        <f t="shared" si="5"/>
        <v>17150.083297916673</v>
      </c>
      <c r="E15" s="304">
        <f t="shared" si="6"/>
        <v>956880.67496458371</v>
      </c>
      <c r="F15" s="306">
        <f t="shared" si="1"/>
        <v>31324.353055555566</v>
      </c>
      <c r="G15" s="305">
        <f t="shared" si="2"/>
        <v>17150.083297916673</v>
      </c>
      <c r="H15" s="304">
        <f t="shared" si="3"/>
        <v>48474.436353472236</v>
      </c>
      <c r="I15" s="303">
        <f t="shared" si="7"/>
        <v>908406.23861111142</v>
      </c>
      <c r="J15" s="535"/>
    </row>
    <row r="16" spans="1:10" x14ac:dyDescent="0.25">
      <c r="A16" s="308">
        <v>8</v>
      </c>
      <c r="B16" s="301">
        <f t="shared" si="4"/>
        <v>1508408.5592137503</v>
      </c>
      <c r="C16" s="307">
        <f t="shared" si="0"/>
        <v>1.8249999999999999E-2</v>
      </c>
      <c r="D16" s="304">
        <f t="shared" si="5"/>
        <v>16578.413854652783</v>
      </c>
      <c r="E16" s="304">
        <f t="shared" si="6"/>
        <v>924984.6524657642</v>
      </c>
      <c r="F16" s="306">
        <f t="shared" si="1"/>
        <v>31324.353055555566</v>
      </c>
      <c r="G16" s="305">
        <f t="shared" si="2"/>
        <v>16578.413854652783</v>
      </c>
      <c r="H16" s="304">
        <f t="shared" si="3"/>
        <v>47902.766910208346</v>
      </c>
      <c r="I16" s="303">
        <f t="shared" si="7"/>
        <v>877081.88555555581</v>
      </c>
      <c r="J16" s="535"/>
    </row>
    <row r="17" spans="1:10" x14ac:dyDescent="0.25">
      <c r="A17" s="308">
        <v>9</v>
      </c>
      <c r="B17" s="301">
        <f t="shared" si="4"/>
        <v>1508408.5592137503</v>
      </c>
      <c r="C17" s="307">
        <f t="shared" si="0"/>
        <v>1.8249999999999999E-2</v>
      </c>
      <c r="D17" s="304">
        <f t="shared" si="5"/>
        <v>16006.744411388892</v>
      </c>
      <c r="E17" s="304">
        <f t="shared" si="6"/>
        <v>893088.62996694469</v>
      </c>
      <c r="F17" s="306">
        <f t="shared" si="1"/>
        <v>31324.353055555566</v>
      </c>
      <c r="G17" s="305">
        <f t="shared" si="2"/>
        <v>16006.744411388892</v>
      </c>
      <c r="H17" s="304">
        <f t="shared" si="3"/>
        <v>47331.097466944455</v>
      </c>
      <c r="I17" s="303">
        <f t="shared" si="7"/>
        <v>845757.5325000002</v>
      </c>
      <c r="J17" s="535"/>
    </row>
    <row r="18" spans="1:10" x14ac:dyDescent="0.25">
      <c r="A18" s="308">
        <v>10</v>
      </c>
      <c r="B18" s="301">
        <f t="shared" si="4"/>
        <v>1508408.5592137503</v>
      </c>
      <c r="C18" s="307">
        <f t="shared" si="0"/>
        <v>1.8249999999999999E-2</v>
      </c>
      <c r="D18" s="304">
        <f t="shared" si="5"/>
        <v>15435.074968125004</v>
      </c>
      <c r="E18" s="304">
        <f t="shared" si="6"/>
        <v>861192.60746812518</v>
      </c>
      <c r="F18" s="306">
        <f t="shared" si="1"/>
        <v>31324.353055555566</v>
      </c>
      <c r="G18" s="305">
        <f t="shared" si="2"/>
        <v>15435.074968125004</v>
      </c>
      <c r="H18" s="304">
        <f t="shared" si="3"/>
        <v>46759.428023680572</v>
      </c>
      <c r="I18" s="303">
        <f t="shared" si="7"/>
        <v>814433.1794444446</v>
      </c>
      <c r="J18" s="535"/>
    </row>
    <row r="19" spans="1:10" x14ac:dyDescent="0.25">
      <c r="A19" s="308">
        <v>11</v>
      </c>
      <c r="B19" s="301">
        <f t="shared" si="4"/>
        <v>1508408.5592137503</v>
      </c>
      <c r="C19" s="307">
        <f t="shared" si="0"/>
        <v>1.8249999999999999E-2</v>
      </c>
      <c r="D19" s="304">
        <f t="shared" si="5"/>
        <v>14863.405524861113</v>
      </c>
      <c r="E19" s="304">
        <f t="shared" si="6"/>
        <v>829296.58496930567</v>
      </c>
      <c r="F19" s="306">
        <f t="shared" si="1"/>
        <v>31324.353055555566</v>
      </c>
      <c r="G19" s="305">
        <f t="shared" si="2"/>
        <v>14863.405524861113</v>
      </c>
      <c r="H19" s="304">
        <f t="shared" si="3"/>
        <v>46187.758580416681</v>
      </c>
      <c r="I19" s="303">
        <f t="shared" si="7"/>
        <v>783108.82638888899</v>
      </c>
      <c r="J19" s="535"/>
    </row>
    <row r="20" spans="1:10" x14ac:dyDescent="0.25">
      <c r="A20" s="308">
        <v>12</v>
      </c>
      <c r="B20" s="301">
        <f t="shared" si="4"/>
        <v>1508408.5592137503</v>
      </c>
      <c r="C20" s="307">
        <f t="shared" si="0"/>
        <v>1.8249999999999999E-2</v>
      </c>
      <c r="D20" s="304">
        <f t="shared" si="5"/>
        <v>14291.736081597222</v>
      </c>
      <c r="E20" s="304">
        <f t="shared" si="6"/>
        <v>797400.56247048627</v>
      </c>
      <c r="F20" s="306">
        <f t="shared" si="1"/>
        <v>31324.353055555566</v>
      </c>
      <c r="G20" s="305">
        <f t="shared" si="2"/>
        <v>14291.736081597222</v>
      </c>
      <c r="H20" s="304">
        <f t="shared" si="3"/>
        <v>45616.08913715279</v>
      </c>
      <c r="I20" s="303">
        <f t="shared" si="7"/>
        <v>751784.47333333339</v>
      </c>
      <c r="J20" s="535"/>
    </row>
    <row r="21" spans="1:10" x14ac:dyDescent="0.25">
      <c r="A21" s="308">
        <v>13</v>
      </c>
      <c r="B21" s="301">
        <f t="shared" si="4"/>
        <v>1508408.5592137503</v>
      </c>
      <c r="C21" s="307">
        <f t="shared" si="0"/>
        <v>1.8249999999999999E-2</v>
      </c>
      <c r="D21" s="304">
        <f t="shared" si="5"/>
        <v>13720.066638333334</v>
      </c>
      <c r="E21" s="304">
        <f t="shared" si="6"/>
        <v>765504.53997166676</v>
      </c>
      <c r="F21" s="306">
        <f t="shared" si="1"/>
        <v>31324.353055555566</v>
      </c>
      <c r="G21" s="305">
        <f t="shared" si="2"/>
        <v>13720.066638333334</v>
      </c>
      <c r="H21" s="304">
        <f t="shared" si="3"/>
        <v>45044.4196938889</v>
      </c>
      <c r="I21" s="303">
        <f t="shared" si="7"/>
        <v>720460.12027777778</v>
      </c>
      <c r="J21" s="535"/>
    </row>
    <row r="22" spans="1:10" x14ac:dyDescent="0.25">
      <c r="A22" s="308">
        <v>14</v>
      </c>
      <c r="B22" s="301">
        <f t="shared" si="4"/>
        <v>1508408.5592137503</v>
      </c>
      <c r="C22" s="307">
        <f t="shared" si="0"/>
        <v>1.8249999999999999E-2</v>
      </c>
      <c r="D22" s="304">
        <f t="shared" si="5"/>
        <v>13148.397195069443</v>
      </c>
      <c r="E22" s="304">
        <f t="shared" si="6"/>
        <v>733608.51747284725</v>
      </c>
      <c r="F22" s="306">
        <f t="shared" si="1"/>
        <v>31324.353055555566</v>
      </c>
      <c r="G22" s="305">
        <f t="shared" si="2"/>
        <v>13148.397195069443</v>
      </c>
      <c r="H22" s="304">
        <f t="shared" si="3"/>
        <v>44472.750250625009</v>
      </c>
      <c r="I22" s="303">
        <f t="shared" si="7"/>
        <v>689135.76722222217</v>
      </c>
      <c r="J22" s="535"/>
    </row>
    <row r="23" spans="1:10" x14ac:dyDescent="0.25">
      <c r="A23" s="308">
        <v>15</v>
      </c>
      <c r="B23" s="301">
        <f t="shared" si="4"/>
        <v>1508408.5592137503</v>
      </c>
      <c r="C23" s="307">
        <f t="shared" si="0"/>
        <v>1.8249999999999999E-2</v>
      </c>
      <c r="D23" s="304">
        <f t="shared" si="5"/>
        <v>12576.727751805554</v>
      </c>
      <c r="E23" s="304">
        <f t="shared" si="6"/>
        <v>701712.49497402774</v>
      </c>
      <c r="F23" s="306">
        <f t="shared" si="1"/>
        <v>31324.353055555566</v>
      </c>
      <c r="G23" s="305">
        <f t="shared" si="2"/>
        <v>12576.727751805554</v>
      </c>
      <c r="H23" s="304">
        <f t="shared" si="3"/>
        <v>43901.080807361119</v>
      </c>
      <c r="I23" s="303">
        <f t="shared" si="7"/>
        <v>657811.41416666657</v>
      </c>
      <c r="J23" s="535"/>
    </row>
    <row r="24" spans="1:10" x14ac:dyDescent="0.25">
      <c r="A24" s="308">
        <v>16</v>
      </c>
      <c r="B24" s="301">
        <f t="shared" si="4"/>
        <v>1508408.5592137503</v>
      </c>
      <c r="C24" s="307">
        <f t="shared" si="0"/>
        <v>1.8249999999999999E-2</v>
      </c>
      <c r="D24" s="304">
        <f t="shared" si="5"/>
        <v>12005.058308541664</v>
      </c>
      <c r="E24" s="304">
        <f t="shared" si="6"/>
        <v>669816.47247520823</v>
      </c>
      <c r="F24" s="306">
        <f t="shared" si="1"/>
        <v>31324.353055555566</v>
      </c>
      <c r="G24" s="305">
        <f t="shared" si="2"/>
        <v>12005.058308541664</v>
      </c>
      <c r="H24" s="304">
        <f t="shared" si="3"/>
        <v>43329.411364097228</v>
      </c>
      <c r="I24" s="303">
        <f t="shared" si="7"/>
        <v>626487.06111111096</v>
      </c>
      <c r="J24" s="535"/>
    </row>
    <row r="25" spans="1:10" x14ac:dyDescent="0.25">
      <c r="A25" s="308">
        <v>17</v>
      </c>
      <c r="B25" s="301">
        <f t="shared" si="4"/>
        <v>1508408.5592137503</v>
      </c>
      <c r="C25" s="307">
        <f t="shared" si="0"/>
        <v>1.8249999999999999E-2</v>
      </c>
      <c r="D25" s="304">
        <f t="shared" si="5"/>
        <v>11433.388865277775</v>
      </c>
      <c r="E25" s="304">
        <f t="shared" si="6"/>
        <v>637920.44997638871</v>
      </c>
      <c r="F25" s="306">
        <f t="shared" si="1"/>
        <v>31324.353055555566</v>
      </c>
      <c r="G25" s="305">
        <f t="shared" si="2"/>
        <v>11433.388865277775</v>
      </c>
      <c r="H25" s="304">
        <f t="shared" si="3"/>
        <v>42757.741920833345</v>
      </c>
      <c r="I25" s="303">
        <f t="shared" si="7"/>
        <v>595162.70805555535</v>
      </c>
      <c r="J25" s="535"/>
    </row>
    <row r="26" spans="1:10" x14ac:dyDescent="0.25">
      <c r="A26" s="308">
        <v>18</v>
      </c>
      <c r="B26" s="301">
        <f t="shared" si="4"/>
        <v>1508408.5592137503</v>
      </c>
      <c r="C26" s="307">
        <f t="shared" si="0"/>
        <v>1.8249999999999999E-2</v>
      </c>
      <c r="D26" s="304">
        <f t="shared" si="5"/>
        <v>10861.719422013884</v>
      </c>
      <c r="E26" s="304">
        <f t="shared" si="6"/>
        <v>606024.4274775692</v>
      </c>
      <c r="F26" s="306">
        <f t="shared" si="1"/>
        <v>31324.353055555566</v>
      </c>
      <c r="G26" s="305">
        <f t="shared" si="2"/>
        <v>10861.719422013884</v>
      </c>
      <c r="H26" s="304">
        <f t="shared" si="3"/>
        <v>42186.072477569454</v>
      </c>
      <c r="I26" s="303">
        <f t="shared" si="7"/>
        <v>563838.35499999975</v>
      </c>
      <c r="J26" s="535"/>
    </row>
    <row r="27" spans="1:10" x14ac:dyDescent="0.25">
      <c r="A27" s="308">
        <f t="shared" ref="A27:A44" si="8">A26+1</f>
        <v>19</v>
      </c>
      <c r="B27" s="301">
        <f t="shared" si="4"/>
        <v>1508408.5592137503</v>
      </c>
      <c r="C27" s="307">
        <f t="shared" si="0"/>
        <v>1.8249999999999999E-2</v>
      </c>
      <c r="D27" s="304">
        <f t="shared" si="5"/>
        <v>10290.049978749994</v>
      </c>
      <c r="E27" s="304">
        <f t="shared" si="6"/>
        <v>574128.40497874969</v>
      </c>
      <c r="F27" s="306">
        <f t="shared" si="1"/>
        <v>31324.353055555566</v>
      </c>
      <c r="G27" s="305">
        <f t="shared" si="2"/>
        <v>10290.049978749994</v>
      </c>
      <c r="H27" s="304">
        <f t="shared" si="3"/>
        <v>41614.403034305564</v>
      </c>
      <c r="I27" s="303">
        <f t="shared" si="7"/>
        <v>532514.00194444414</v>
      </c>
      <c r="J27" s="535"/>
    </row>
    <row r="28" spans="1:10" x14ac:dyDescent="0.25">
      <c r="A28" s="308">
        <f t="shared" si="8"/>
        <v>20</v>
      </c>
      <c r="B28" s="301">
        <f t="shared" si="4"/>
        <v>1508408.5592137503</v>
      </c>
      <c r="C28" s="307">
        <f t="shared" si="0"/>
        <v>1.8249999999999999E-2</v>
      </c>
      <c r="D28" s="304">
        <f t="shared" si="5"/>
        <v>9718.3805354861051</v>
      </c>
      <c r="E28" s="304">
        <f t="shared" si="6"/>
        <v>542232.3824799303</v>
      </c>
      <c r="F28" s="306">
        <f t="shared" si="1"/>
        <v>31324.353055555566</v>
      </c>
      <c r="G28" s="305">
        <f t="shared" si="2"/>
        <v>9718.3805354861051</v>
      </c>
      <c r="H28" s="304">
        <f t="shared" si="3"/>
        <v>41042.733591041673</v>
      </c>
      <c r="I28" s="303">
        <f t="shared" si="7"/>
        <v>501189.64888888859</v>
      </c>
      <c r="J28" s="535"/>
    </row>
    <row r="29" spans="1:10" x14ac:dyDescent="0.25">
      <c r="A29" s="308">
        <f t="shared" si="8"/>
        <v>21</v>
      </c>
      <c r="B29" s="301">
        <f t="shared" si="4"/>
        <v>1508408.5592137503</v>
      </c>
      <c r="C29" s="307">
        <f t="shared" si="0"/>
        <v>1.8249999999999999E-2</v>
      </c>
      <c r="D29" s="304">
        <f t="shared" si="5"/>
        <v>9146.7110922222164</v>
      </c>
      <c r="E29" s="304">
        <f t="shared" si="6"/>
        <v>510336.35998111079</v>
      </c>
      <c r="F29" s="306">
        <f t="shared" si="1"/>
        <v>31324.353055555566</v>
      </c>
      <c r="G29" s="305">
        <f t="shared" si="2"/>
        <v>9146.7110922222164</v>
      </c>
      <c r="H29" s="304">
        <f t="shared" si="3"/>
        <v>40471.064147777783</v>
      </c>
      <c r="I29" s="303">
        <f t="shared" si="7"/>
        <v>469865.29583333305</v>
      </c>
      <c r="J29" s="535"/>
    </row>
    <row r="30" spans="1:10" x14ac:dyDescent="0.25">
      <c r="A30" s="308">
        <f t="shared" si="8"/>
        <v>22</v>
      </c>
      <c r="B30" s="301">
        <f t="shared" si="4"/>
        <v>1508408.5592137503</v>
      </c>
      <c r="C30" s="307">
        <f t="shared" si="0"/>
        <v>1.8249999999999999E-2</v>
      </c>
      <c r="D30" s="304">
        <f t="shared" si="5"/>
        <v>8575.0416489583276</v>
      </c>
      <c r="E30" s="304">
        <f t="shared" si="6"/>
        <v>478440.33748229139</v>
      </c>
      <c r="F30" s="306">
        <f t="shared" si="1"/>
        <v>31324.353055555566</v>
      </c>
      <c r="G30" s="305">
        <f t="shared" si="2"/>
        <v>8575.0416489583276</v>
      </c>
      <c r="H30" s="304">
        <f t="shared" si="3"/>
        <v>39899.394704513892</v>
      </c>
      <c r="I30" s="303">
        <f t="shared" si="7"/>
        <v>438540.9427777775</v>
      </c>
      <c r="J30" s="535"/>
    </row>
    <row r="31" spans="1:10" x14ac:dyDescent="0.25">
      <c r="A31" s="308">
        <f t="shared" si="8"/>
        <v>23</v>
      </c>
      <c r="B31" s="301">
        <f t="shared" si="4"/>
        <v>1508408.5592137503</v>
      </c>
      <c r="C31" s="307">
        <f t="shared" si="0"/>
        <v>1.8249999999999999E-2</v>
      </c>
      <c r="D31" s="304">
        <f t="shared" si="5"/>
        <v>8003.3722056944389</v>
      </c>
      <c r="E31" s="304">
        <f t="shared" si="6"/>
        <v>446544.31498347194</v>
      </c>
      <c r="F31" s="306">
        <f t="shared" si="1"/>
        <v>31324.353055555566</v>
      </c>
      <c r="G31" s="305">
        <f t="shared" si="2"/>
        <v>8003.3722056944389</v>
      </c>
      <c r="H31" s="304">
        <f t="shared" si="3"/>
        <v>39327.725261250001</v>
      </c>
      <c r="I31" s="303">
        <f t="shared" si="7"/>
        <v>407216.58972222195</v>
      </c>
      <c r="J31" s="535"/>
    </row>
    <row r="32" spans="1:10" x14ac:dyDescent="0.25">
      <c r="A32" s="308">
        <f t="shared" si="8"/>
        <v>24</v>
      </c>
      <c r="B32" s="301">
        <f t="shared" si="4"/>
        <v>1508408.5592137503</v>
      </c>
      <c r="C32" s="307">
        <f t="shared" si="0"/>
        <v>1.8249999999999999E-2</v>
      </c>
      <c r="D32" s="304">
        <f t="shared" si="5"/>
        <v>7431.7027624305501</v>
      </c>
      <c r="E32" s="304">
        <f t="shared" si="6"/>
        <v>414648.29248465248</v>
      </c>
      <c r="F32" s="306">
        <f t="shared" si="1"/>
        <v>31324.353055555566</v>
      </c>
      <c r="G32" s="305">
        <f t="shared" si="2"/>
        <v>7431.7027624305501</v>
      </c>
      <c r="H32" s="304">
        <f t="shared" si="3"/>
        <v>38756.055817986118</v>
      </c>
      <c r="I32" s="303">
        <f t="shared" si="7"/>
        <v>375892.2366666664</v>
      </c>
      <c r="J32" s="535"/>
    </row>
    <row r="33" spans="1:10" x14ac:dyDescent="0.25">
      <c r="A33" s="308">
        <f t="shared" si="8"/>
        <v>25</v>
      </c>
      <c r="B33" s="301">
        <f t="shared" si="4"/>
        <v>1508408.5592137503</v>
      </c>
      <c r="C33" s="307">
        <f t="shared" si="0"/>
        <v>1.8249999999999999E-2</v>
      </c>
      <c r="D33" s="304">
        <f t="shared" si="5"/>
        <v>6860.0333191666614</v>
      </c>
      <c r="E33" s="304">
        <f t="shared" si="6"/>
        <v>382752.26998583309</v>
      </c>
      <c r="F33" s="306">
        <f t="shared" si="1"/>
        <v>31324.353055555566</v>
      </c>
      <c r="G33" s="305">
        <f t="shared" si="2"/>
        <v>6860.0333191666614</v>
      </c>
      <c r="H33" s="304">
        <f t="shared" si="3"/>
        <v>38184.386374722228</v>
      </c>
      <c r="I33" s="303">
        <f t="shared" si="7"/>
        <v>344567.88361111085</v>
      </c>
      <c r="J33" s="535"/>
    </row>
    <row r="34" spans="1:10" x14ac:dyDescent="0.25">
      <c r="A34" s="308">
        <f t="shared" si="8"/>
        <v>26</v>
      </c>
      <c r="B34" s="301">
        <f t="shared" si="4"/>
        <v>1508408.5592137503</v>
      </c>
      <c r="C34" s="307">
        <f t="shared" si="0"/>
        <v>1.8249999999999999E-2</v>
      </c>
      <c r="D34" s="304">
        <f t="shared" si="5"/>
        <v>6288.3638759027726</v>
      </c>
      <c r="E34" s="304">
        <f t="shared" si="6"/>
        <v>350856.24748701364</v>
      </c>
      <c r="F34" s="306">
        <f t="shared" si="1"/>
        <v>31324.353055555566</v>
      </c>
      <c r="G34" s="305">
        <f t="shared" si="2"/>
        <v>6288.3638759027726</v>
      </c>
      <c r="H34" s="304">
        <f t="shared" si="3"/>
        <v>37612.716931458337</v>
      </c>
      <c r="I34" s="303">
        <f t="shared" si="7"/>
        <v>313243.53055555531</v>
      </c>
      <c r="J34" s="535"/>
    </row>
    <row r="35" spans="1:10" x14ac:dyDescent="0.25">
      <c r="A35" s="308">
        <f t="shared" si="8"/>
        <v>27</v>
      </c>
      <c r="B35" s="301">
        <f t="shared" si="4"/>
        <v>1508408.5592137503</v>
      </c>
      <c r="C35" s="307">
        <f t="shared" si="0"/>
        <v>1.8249999999999999E-2</v>
      </c>
      <c r="D35" s="304">
        <f t="shared" si="5"/>
        <v>5716.6944326388839</v>
      </c>
      <c r="E35" s="304">
        <f t="shared" si="6"/>
        <v>318960.22498819418</v>
      </c>
      <c r="F35" s="306">
        <f t="shared" si="1"/>
        <v>31324.353055555566</v>
      </c>
      <c r="G35" s="305">
        <f t="shared" si="2"/>
        <v>5716.6944326388839</v>
      </c>
      <c r="H35" s="304">
        <f t="shared" si="3"/>
        <v>37041.047488194454</v>
      </c>
      <c r="I35" s="303">
        <f t="shared" si="7"/>
        <v>281919.17749999976</v>
      </c>
      <c r="J35" s="535"/>
    </row>
    <row r="36" spans="1:10" x14ac:dyDescent="0.25">
      <c r="A36" s="308">
        <f t="shared" si="8"/>
        <v>28</v>
      </c>
      <c r="B36" s="301">
        <f t="shared" si="4"/>
        <v>1508408.5592137503</v>
      </c>
      <c r="C36" s="307">
        <f t="shared" si="0"/>
        <v>1.8249999999999999E-2</v>
      </c>
      <c r="D36" s="304">
        <f t="shared" si="5"/>
        <v>5145.0249893749951</v>
      </c>
      <c r="E36" s="304">
        <f t="shared" si="6"/>
        <v>287064.20248937473</v>
      </c>
      <c r="F36" s="306">
        <f t="shared" si="1"/>
        <v>31324.353055555566</v>
      </c>
      <c r="G36" s="305">
        <f t="shared" si="2"/>
        <v>5145.0249893749951</v>
      </c>
      <c r="H36" s="304">
        <f t="shared" si="3"/>
        <v>36469.378044930563</v>
      </c>
      <c r="I36" s="303">
        <f t="shared" si="7"/>
        <v>250594.82444444418</v>
      </c>
      <c r="J36" s="535"/>
    </row>
    <row r="37" spans="1:10" x14ac:dyDescent="0.25">
      <c r="A37" s="308">
        <f t="shared" si="8"/>
        <v>29</v>
      </c>
      <c r="B37" s="301">
        <f t="shared" si="4"/>
        <v>1508408.5592137503</v>
      </c>
      <c r="C37" s="307">
        <f t="shared" si="0"/>
        <v>1.8249999999999999E-2</v>
      </c>
      <c r="D37" s="304">
        <f t="shared" si="5"/>
        <v>4573.3555461111064</v>
      </c>
      <c r="E37" s="304">
        <f t="shared" si="6"/>
        <v>255168.17999055528</v>
      </c>
      <c r="F37" s="306">
        <f t="shared" si="1"/>
        <v>31324.353055555566</v>
      </c>
      <c r="G37" s="305">
        <f t="shared" si="2"/>
        <v>4573.3555461111064</v>
      </c>
      <c r="H37" s="304">
        <f t="shared" si="3"/>
        <v>35897.708601666673</v>
      </c>
      <c r="I37" s="303">
        <f t="shared" si="7"/>
        <v>219270.4713888886</v>
      </c>
      <c r="J37" s="535"/>
    </row>
    <row r="38" spans="1:10" x14ac:dyDescent="0.25">
      <c r="A38" s="308">
        <f t="shared" si="8"/>
        <v>30</v>
      </c>
      <c r="B38" s="301">
        <f t="shared" si="4"/>
        <v>1508408.5592137503</v>
      </c>
      <c r="C38" s="307">
        <f t="shared" si="0"/>
        <v>1.8249999999999999E-2</v>
      </c>
      <c r="D38" s="304">
        <f t="shared" si="5"/>
        <v>4001.6861028472167</v>
      </c>
      <c r="E38" s="304">
        <f t="shared" si="6"/>
        <v>223272.15749173582</v>
      </c>
      <c r="F38" s="306">
        <f t="shared" si="1"/>
        <v>31324.353055555566</v>
      </c>
      <c r="G38" s="305">
        <f t="shared" si="2"/>
        <v>4001.6861028472167</v>
      </c>
      <c r="H38" s="304">
        <f t="shared" si="3"/>
        <v>35326.039158402782</v>
      </c>
      <c r="I38" s="303">
        <f t="shared" si="7"/>
        <v>187946.11833333303</v>
      </c>
      <c r="J38" s="535"/>
    </row>
    <row r="39" spans="1:10" x14ac:dyDescent="0.25">
      <c r="A39" s="308">
        <f t="shared" si="8"/>
        <v>31</v>
      </c>
      <c r="B39" s="301">
        <f t="shared" si="4"/>
        <v>1508408.5592137503</v>
      </c>
      <c r="C39" s="307">
        <f t="shared" si="0"/>
        <v>1.8249999999999999E-2</v>
      </c>
      <c r="D39" s="304">
        <f t="shared" si="5"/>
        <v>3430.0166595833275</v>
      </c>
      <c r="E39" s="304">
        <f t="shared" si="6"/>
        <v>191376.13499291634</v>
      </c>
      <c r="F39" s="306">
        <f t="shared" si="1"/>
        <v>31324.353055555566</v>
      </c>
      <c r="G39" s="305">
        <f t="shared" si="2"/>
        <v>3430.0166595833275</v>
      </c>
      <c r="H39" s="304">
        <f t="shared" si="3"/>
        <v>34754.369715138891</v>
      </c>
      <c r="I39" s="303">
        <f t="shared" si="7"/>
        <v>156621.76527777745</v>
      </c>
      <c r="J39" s="535"/>
    </row>
    <row r="40" spans="1:10" x14ac:dyDescent="0.25">
      <c r="A40" s="308">
        <f t="shared" si="8"/>
        <v>32</v>
      </c>
      <c r="B40" s="301">
        <f t="shared" si="4"/>
        <v>1508408.5592137503</v>
      </c>
      <c r="C40" s="307">
        <f t="shared" si="0"/>
        <v>1.8249999999999999E-2</v>
      </c>
      <c r="D40" s="304">
        <f t="shared" si="5"/>
        <v>2858.3472163194383</v>
      </c>
      <c r="E40" s="304">
        <f t="shared" si="6"/>
        <v>159480.11249409689</v>
      </c>
      <c r="F40" s="306">
        <f t="shared" si="1"/>
        <v>31324.353055555566</v>
      </c>
      <c r="G40" s="305">
        <f t="shared" si="2"/>
        <v>2858.3472163194383</v>
      </c>
      <c r="H40" s="304">
        <f t="shared" si="3"/>
        <v>34182.700271875001</v>
      </c>
      <c r="I40" s="303">
        <f t="shared" si="7"/>
        <v>125297.41222222189</v>
      </c>
      <c r="J40" s="535"/>
    </row>
    <row r="41" spans="1:10" x14ac:dyDescent="0.25">
      <c r="A41" s="308">
        <f t="shared" si="8"/>
        <v>33</v>
      </c>
      <c r="B41" s="301">
        <f t="shared" si="4"/>
        <v>1508408.5592137503</v>
      </c>
      <c r="C41" s="307">
        <f t="shared" si="0"/>
        <v>1.8249999999999999E-2</v>
      </c>
      <c r="D41" s="304">
        <f t="shared" si="5"/>
        <v>2286.6777730555491</v>
      </c>
      <c r="E41" s="304">
        <f t="shared" si="6"/>
        <v>127584.08999527743</v>
      </c>
      <c r="F41" s="306">
        <f t="shared" si="1"/>
        <v>31324.353055555566</v>
      </c>
      <c r="G41" s="305">
        <f t="shared" si="2"/>
        <v>2286.6777730555491</v>
      </c>
      <c r="H41" s="304">
        <f t="shared" si="3"/>
        <v>33611.030828611118</v>
      </c>
      <c r="I41" s="303">
        <f t="shared" si="7"/>
        <v>93973.059166666324</v>
      </c>
      <c r="J41" s="535"/>
    </row>
    <row r="42" spans="1:10" x14ac:dyDescent="0.25">
      <c r="A42" s="308">
        <f t="shared" si="8"/>
        <v>34</v>
      </c>
      <c r="B42" s="301">
        <f t="shared" si="4"/>
        <v>1508408.5592137503</v>
      </c>
      <c r="C42" s="307">
        <f t="shared" si="0"/>
        <v>1.8249999999999999E-2</v>
      </c>
      <c r="D42" s="304">
        <f t="shared" si="5"/>
        <v>1715.0083297916603</v>
      </c>
      <c r="E42" s="304">
        <f t="shared" si="6"/>
        <v>95688.067496457981</v>
      </c>
      <c r="F42" s="306">
        <f t="shared" si="1"/>
        <v>31324.353055555566</v>
      </c>
      <c r="G42" s="305">
        <f t="shared" si="2"/>
        <v>1715.0083297916603</v>
      </c>
      <c r="H42" s="304">
        <f t="shared" si="3"/>
        <v>33039.361385347227</v>
      </c>
      <c r="I42" s="303">
        <f t="shared" si="7"/>
        <v>62648.706111110761</v>
      </c>
      <c r="J42" s="535"/>
    </row>
    <row r="43" spans="1:10" x14ac:dyDescent="0.25">
      <c r="A43" s="308">
        <f t="shared" si="8"/>
        <v>35</v>
      </c>
      <c r="B43" s="301">
        <f t="shared" si="4"/>
        <v>1508408.5592137503</v>
      </c>
      <c r="C43" s="307">
        <f t="shared" si="0"/>
        <v>1.8249999999999999E-2</v>
      </c>
      <c r="D43" s="304">
        <f t="shared" si="5"/>
        <v>1143.3388865277714</v>
      </c>
      <c r="E43" s="304">
        <f t="shared" si="6"/>
        <v>63792.044997638535</v>
      </c>
      <c r="F43" s="306">
        <f t="shared" si="1"/>
        <v>31324.353055555566</v>
      </c>
      <c r="G43" s="305">
        <f t="shared" si="2"/>
        <v>1143.3388865277714</v>
      </c>
      <c r="H43" s="304">
        <f t="shared" si="3"/>
        <v>32467.691942083336</v>
      </c>
      <c r="I43" s="303">
        <f t="shared" si="7"/>
        <v>31324.353055555195</v>
      </c>
      <c r="J43" s="535"/>
    </row>
    <row r="44" spans="1:10" x14ac:dyDescent="0.25">
      <c r="A44" s="302">
        <f t="shared" si="8"/>
        <v>36</v>
      </c>
      <c r="B44" s="301">
        <f t="shared" si="4"/>
        <v>1508408.5592137503</v>
      </c>
      <c r="C44" s="300">
        <f t="shared" si="0"/>
        <v>1.8249999999999999E-2</v>
      </c>
      <c r="D44" s="297">
        <f t="shared" si="5"/>
        <v>571.66944326388227</v>
      </c>
      <c r="E44" s="297">
        <f t="shared" si="6"/>
        <v>31896.022498819078</v>
      </c>
      <c r="F44" s="299">
        <f t="shared" si="1"/>
        <v>31324.353055555566</v>
      </c>
      <c r="G44" s="298">
        <f t="shared" si="2"/>
        <v>571.66944326388227</v>
      </c>
      <c r="H44" s="297">
        <f t="shared" si="3"/>
        <v>31896.02249881945</v>
      </c>
      <c r="I44" s="296">
        <f t="shared" si="7"/>
        <v>-3.7107383832335472E-10</v>
      </c>
      <c r="J44" s="537"/>
    </row>
    <row r="45" spans="1:10" x14ac:dyDescent="0.25">
      <c r="A45" s="530" t="s">
        <v>26</v>
      </c>
      <c r="B45" s="530"/>
      <c r="C45" s="531"/>
      <c r="D45" s="532">
        <f>SUM(D9:D44)</f>
        <v>380731.84921375004</v>
      </c>
      <c r="E45" s="532"/>
      <c r="F45" s="532">
        <f>SUM(F9:F44)</f>
        <v>1127676.7100000009</v>
      </c>
      <c r="G45" s="532">
        <f>SUM(G9:G44)</f>
        <v>380731.84921375004</v>
      </c>
      <c r="H45" s="532">
        <f>SUM(H9:H44)</f>
        <v>1508408.5592137503</v>
      </c>
      <c r="I45" s="532"/>
      <c r="J45" s="530"/>
    </row>
    <row r="46" spans="1:10" x14ac:dyDescent="0.25">
      <c r="A46" s="295"/>
      <c r="B46" s="295"/>
      <c r="C46" s="294"/>
      <c r="D46" s="291"/>
      <c r="E46" s="291"/>
      <c r="F46" s="293"/>
      <c r="G46" s="292"/>
      <c r="H46" s="291"/>
      <c r="I46" s="290"/>
      <c r="J46" s="289"/>
    </row>
    <row r="47" spans="1:10" x14ac:dyDescent="0.25">
      <c r="A47" s="295"/>
      <c r="B47" s="295"/>
      <c r="C47" s="294"/>
      <c r="D47" s="291"/>
      <c r="E47" s="291"/>
      <c r="F47" s="293"/>
      <c r="G47" s="292"/>
      <c r="H47" s="291"/>
      <c r="I47" s="290"/>
      <c r="J47" s="289"/>
    </row>
    <row r="48" spans="1:10" x14ac:dyDescent="0.25">
      <c r="A48" s="288" t="s">
        <v>376</v>
      </c>
      <c r="D48" s="291"/>
      <c r="E48" s="291"/>
      <c r="F48" s="293"/>
      <c r="G48" s="292"/>
      <c r="H48" s="291"/>
      <c r="I48" s="290"/>
      <c r="J48" s="289"/>
    </row>
    <row r="49" spans="1:10" x14ac:dyDescent="0.25">
      <c r="A49" s="534" t="s">
        <v>374</v>
      </c>
      <c r="B49" s="668">
        <f>SUM(H9:H20)</f>
        <v>585123.25290125015</v>
      </c>
      <c r="C49" s="669"/>
      <c r="D49" s="291"/>
      <c r="E49" s="291"/>
      <c r="F49" s="293"/>
      <c r="G49" s="292"/>
      <c r="H49" s="291"/>
      <c r="I49" s="290"/>
      <c r="J49" s="289"/>
    </row>
    <row r="50" spans="1:10" x14ac:dyDescent="0.25">
      <c r="A50" s="534" t="s">
        <v>373</v>
      </c>
      <c r="B50" s="670"/>
      <c r="C50" s="671"/>
      <c r="D50" s="291"/>
      <c r="E50" s="291"/>
      <c r="F50" s="293"/>
      <c r="G50" s="292"/>
      <c r="H50" s="291"/>
      <c r="I50" s="290"/>
      <c r="J50" s="289"/>
    </row>
    <row r="51" spans="1:10" x14ac:dyDescent="0.25">
      <c r="A51" s="288" t="s">
        <v>375</v>
      </c>
      <c r="D51" s="291"/>
      <c r="E51" s="291"/>
      <c r="F51" s="293"/>
      <c r="G51" s="292"/>
      <c r="H51" s="291"/>
      <c r="I51" s="290"/>
      <c r="J51" s="289"/>
    </row>
    <row r="52" spans="1:10" x14ac:dyDescent="0.25">
      <c r="A52" s="534" t="s">
        <v>374</v>
      </c>
      <c r="B52" s="668"/>
      <c r="C52" s="669"/>
      <c r="D52" s="291"/>
      <c r="E52" s="291"/>
      <c r="F52" s="293"/>
      <c r="G52" s="292"/>
      <c r="H52" s="291"/>
      <c r="I52" s="290"/>
      <c r="J52" s="289"/>
    </row>
    <row r="53" spans="1:10" x14ac:dyDescent="0.25">
      <c r="A53" s="534" t="s">
        <v>373</v>
      </c>
      <c r="B53" s="670"/>
      <c r="C53" s="671"/>
      <c r="D53" s="291"/>
      <c r="E53" s="291"/>
      <c r="F53" s="293"/>
      <c r="G53" s="292"/>
      <c r="H53" s="291"/>
      <c r="I53" s="290"/>
      <c r="J53" s="289"/>
    </row>
    <row r="54" spans="1:10" x14ac:dyDescent="0.25">
      <c r="A54" s="295"/>
      <c r="B54" s="295"/>
      <c r="C54" s="294"/>
      <c r="D54" s="291"/>
      <c r="E54" s="291"/>
      <c r="F54" s="293"/>
      <c r="G54" s="292"/>
      <c r="H54" s="291"/>
      <c r="I54" s="290"/>
      <c r="J54" s="289"/>
    </row>
    <row r="55" spans="1:10" x14ac:dyDescent="0.25">
      <c r="A55" s="295"/>
      <c r="B55" s="295"/>
      <c r="C55" s="294"/>
      <c r="D55" s="291"/>
      <c r="E55" s="291"/>
      <c r="F55" s="293"/>
      <c r="G55" s="292"/>
      <c r="H55" s="291"/>
      <c r="I55" s="290"/>
      <c r="J55" s="289"/>
    </row>
    <row r="56" spans="1:10" x14ac:dyDescent="0.25">
      <c r="A56" s="295"/>
      <c r="B56" s="295"/>
      <c r="C56" s="294"/>
      <c r="D56" s="291"/>
      <c r="E56" s="291"/>
      <c r="F56" s="293"/>
      <c r="G56" s="292"/>
      <c r="H56" s="291"/>
      <c r="I56" s="290"/>
      <c r="J56" s="289"/>
    </row>
  </sheetData>
  <mergeCells count="6">
    <mergeCell ref="B52:C52"/>
    <mergeCell ref="B53:C53"/>
    <mergeCell ref="D4:F4"/>
    <mergeCell ref="A6:J6"/>
    <mergeCell ref="B49:C49"/>
    <mergeCell ref="B50:C50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FC51-AF8D-EC4A-A483-1B5E5F936FFB}">
  <dimension ref="A1:N55"/>
  <sheetViews>
    <sheetView zoomScale="40" zoomScaleNormal="40" workbookViewId="0">
      <selection activeCell="N28" sqref="N28"/>
    </sheetView>
  </sheetViews>
  <sheetFormatPr baseColWidth="10" defaultColWidth="11.42578125" defaultRowHeight="12.75" x14ac:dyDescent="0.2"/>
  <cols>
    <col min="1" max="1" width="22.28515625" customWidth="1"/>
    <col min="2" max="2" width="21.42578125" customWidth="1"/>
    <col min="3" max="5" width="18.140625" bestFit="1" customWidth="1"/>
    <col min="6" max="6" width="17.5703125" bestFit="1" customWidth="1"/>
    <col min="7" max="8" width="18.140625" bestFit="1" customWidth="1"/>
    <col min="9" max="9" width="18.5703125" customWidth="1"/>
    <col min="10" max="10" width="17.42578125" customWidth="1"/>
    <col min="12" max="12" width="12.7109375" bestFit="1" customWidth="1"/>
    <col min="13" max="13" width="12.28515625" bestFit="1" customWidth="1"/>
    <col min="14" max="14" width="12.7109375" bestFit="1" customWidth="1"/>
  </cols>
  <sheetData>
    <row r="1" spans="1:14" ht="20.25" x14ac:dyDescent="0.3">
      <c r="A1" s="38" t="s">
        <v>115</v>
      </c>
    </row>
    <row r="2" spans="1:14" ht="18" x14ac:dyDescent="0.25">
      <c r="A2" s="1"/>
    </row>
    <row r="3" spans="1:14" ht="18" x14ac:dyDescent="0.25">
      <c r="A3" s="39" t="s">
        <v>14</v>
      </c>
      <c r="B3" s="2" t="s">
        <v>344</v>
      </c>
      <c r="C3" s="2"/>
      <c r="D3" s="2"/>
      <c r="E3" s="2"/>
      <c r="F3" s="40"/>
    </row>
    <row r="4" spans="1:14" ht="18" x14ac:dyDescent="0.25">
      <c r="A4" s="39" t="s">
        <v>15</v>
      </c>
      <c r="B4" s="2" t="s">
        <v>345</v>
      </c>
      <c r="C4" s="2"/>
      <c r="D4" s="2"/>
      <c r="E4" s="2"/>
      <c r="F4" s="40"/>
    </row>
    <row r="5" spans="1:14" ht="18" x14ac:dyDescent="0.25">
      <c r="A5" s="39" t="s">
        <v>16</v>
      </c>
      <c r="B5" s="2"/>
      <c r="C5" s="3"/>
      <c r="D5" s="3"/>
      <c r="E5" s="2"/>
      <c r="F5" s="41"/>
    </row>
    <row r="6" spans="1:14" ht="18" x14ac:dyDescent="0.25">
      <c r="A6" s="674" t="s">
        <v>116</v>
      </c>
      <c r="B6" s="674"/>
      <c r="C6" s="674"/>
      <c r="D6" s="674"/>
      <c r="E6" s="674"/>
      <c r="F6" s="674"/>
      <c r="G6" s="674"/>
      <c r="H6" s="674"/>
      <c r="I6" s="674"/>
      <c r="J6" s="675"/>
    </row>
    <row r="7" spans="1:14" ht="15" x14ac:dyDescent="0.2">
      <c r="A7" s="4"/>
      <c r="B7" s="4"/>
      <c r="C7" s="676" t="s">
        <v>117</v>
      </c>
      <c r="D7" s="677"/>
      <c r="E7" s="677"/>
      <c r="F7" s="678"/>
      <c r="G7" s="679" t="s">
        <v>118</v>
      </c>
      <c r="H7" s="679"/>
      <c r="I7" s="679"/>
      <c r="J7" s="679"/>
    </row>
    <row r="8" spans="1:14" ht="15.75" x14ac:dyDescent="0.25">
      <c r="A8" s="6" t="s">
        <v>62</v>
      </c>
      <c r="B8" s="5" t="s">
        <v>119</v>
      </c>
      <c r="C8" s="42">
        <v>0.05</v>
      </c>
      <c r="D8" s="43">
        <v>0.1</v>
      </c>
      <c r="E8" s="43">
        <v>0.15</v>
      </c>
      <c r="F8" s="43">
        <v>0.2</v>
      </c>
      <c r="G8" s="44">
        <v>0.05</v>
      </c>
      <c r="H8" s="44">
        <v>0.1</v>
      </c>
      <c r="I8" s="44">
        <v>0.15</v>
      </c>
      <c r="J8" s="44">
        <v>0.2</v>
      </c>
    </row>
    <row r="9" spans="1:14" ht="15" x14ac:dyDescent="0.2">
      <c r="A9" s="4" t="s">
        <v>113</v>
      </c>
      <c r="B9" s="45">
        <f>'INGRESOS '!N24</f>
        <v>15123330</v>
      </c>
      <c r="C9" s="46">
        <f>(B9*0.05)+B9</f>
        <v>15879496.5</v>
      </c>
      <c r="D9" s="46">
        <f>($B$9*0.1)+$B$9</f>
        <v>16635663</v>
      </c>
      <c r="E9" s="46">
        <f>($B$9*0.15)+$B$9</f>
        <v>17391829.5</v>
      </c>
      <c r="F9" s="46">
        <f>($B$9*0.2)+$B$9</f>
        <v>18147996</v>
      </c>
      <c r="G9" s="45">
        <f>$B$9</f>
        <v>15123330</v>
      </c>
      <c r="H9" s="45">
        <f t="shared" ref="H9:J9" si="0">$B$9</f>
        <v>15123330</v>
      </c>
      <c r="I9" s="45">
        <f t="shared" si="0"/>
        <v>15123330</v>
      </c>
      <c r="J9" s="45">
        <f t="shared" si="0"/>
        <v>15123330</v>
      </c>
    </row>
    <row r="10" spans="1:14" ht="15" x14ac:dyDescent="0.2">
      <c r="A10" s="4" t="s">
        <v>120</v>
      </c>
      <c r="B10" s="45">
        <f>'COSTOS '!R54</f>
        <v>4853900.5645005992</v>
      </c>
      <c r="C10" s="187">
        <f>B10</f>
        <v>4853900.5645005992</v>
      </c>
      <c r="D10" s="187">
        <f t="shared" ref="D10:F10" si="1">C10</f>
        <v>4853900.5645005992</v>
      </c>
      <c r="E10" s="187">
        <f t="shared" si="1"/>
        <v>4853900.5645005992</v>
      </c>
      <c r="F10" s="187">
        <f t="shared" si="1"/>
        <v>4853900.5645005992</v>
      </c>
      <c r="G10" s="45">
        <f>(F10*0.05)+F10</f>
        <v>5096595.592725629</v>
      </c>
      <c r="H10" s="45">
        <f>($B$10*0.1)+$B$10</f>
        <v>5339290.6209506588</v>
      </c>
      <c r="I10" s="45">
        <f>($B$10*0.15)+$B$10</f>
        <v>5581985.6491756886</v>
      </c>
      <c r="J10" s="45">
        <f>($B$10*0.2)+$B$10</f>
        <v>5824680.6774007194</v>
      </c>
      <c r="L10" s="321" t="s">
        <v>309</v>
      </c>
    </row>
    <row r="11" spans="1:14" ht="15.75" x14ac:dyDescent="0.25">
      <c r="A11" s="4" t="s">
        <v>26</v>
      </c>
      <c r="B11" s="47">
        <f>SUM(B9-B10)</f>
        <v>10269429.4354994</v>
      </c>
      <c r="C11" s="48">
        <f>C9-C10</f>
        <v>11025595.9354994</v>
      </c>
      <c r="D11" s="48">
        <f t="shared" ref="D11:J11" si="2">D9-D10</f>
        <v>11781762.4354994</v>
      </c>
      <c r="E11" s="48">
        <f t="shared" si="2"/>
        <v>12537928.9354994</v>
      </c>
      <c r="F11" s="48">
        <f t="shared" si="2"/>
        <v>13294095.4354994</v>
      </c>
      <c r="G11" s="49">
        <f t="shared" si="2"/>
        <v>10026734.407274371</v>
      </c>
      <c r="H11" s="49">
        <f t="shared" si="2"/>
        <v>9784039.3790493421</v>
      </c>
      <c r="I11" s="49">
        <f t="shared" si="2"/>
        <v>9541344.3508243114</v>
      </c>
      <c r="J11" s="49">
        <f t="shared" si="2"/>
        <v>9298649.3225992806</v>
      </c>
      <c r="L11" s="339">
        <f>B11*0.35</f>
        <v>3594300.3024247899</v>
      </c>
      <c r="M11" s="321" t="s">
        <v>431</v>
      </c>
    </row>
    <row r="12" spans="1:14" ht="15" x14ac:dyDescent="0.2">
      <c r="A12" s="50"/>
      <c r="B12" s="15"/>
      <c r="C12" s="15"/>
      <c r="D12" s="15"/>
      <c r="E12" s="15"/>
      <c r="F12" s="15"/>
      <c r="G12" s="15"/>
      <c r="H12" s="15"/>
      <c r="I12" s="15"/>
      <c r="J12" s="54"/>
      <c r="L12" s="339">
        <f>B11*0.16</f>
        <v>1643108.7096799039</v>
      </c>
      <c r="M12" s="328">
        <f>'COSTOS '!N53*0.16</f>
        <v>776624.09032009589</v>
      </c>
      <c r="N12" s="339">
        <f>L12-M12</f>
        <v>866484.61935980804</v>
      </c>
    </row>
    <row r="13" spans="1:14" ht="15.75" x14ac:dyDescent="0.25">
      <c r="A13" s="51" t="s">
        <v>121</v>
      </c>
      <c r="B13" s="52">
        <f>+B9/B10</f>
        <v>3.1157065949405141</v>
      </c>
      <c r="C13" s="52">
        <f t="shared" ref="C13:J13" si="3">+C9/C10</f>
        <v>3.2714919246875396</v>
      </c>
      <c r="D13" s="52">
        <f t="shared" si="3"/>
        <v>3.4272772544345651</v>
      </c>
      <c r="E13" s="52">
        <f t="shared" si="3"/>
        <v>3.5830625841815911</v>
      </c>
      <c r="F13" s="52">
        <f t="shared" si="3"/>
        <v>3.7388479139286166</v>
      </c>
      <c r="G13" s="52">
        <f t="shared" si="3"/>
        <v>2.9673396142290609</v>
      </c>
      <c r="H13" s="52">
        <f t="shared" si="3"/>
        <v>2.832460540855013</v>
      </c>
      <c r="I13" s="52">
        <f t="shared" si="3"/>
        <v>2.7093100825569687</v>
      </c>
      <c r="J13" s="55">
        <f t="shared" si="3"/>
        <v>2.5964221624504282</v>
      </c>
      <c r="L13" s="348"/>
      <c r="N13" s="339">
        <f>L11+N12</f>
        <v>4460784.9217845984</v>
      </c>
    </row>
    <row r="14" spans="1:14" ht="15.75" x14ac:dyDescent="0.25">
      <c r="A14" s="12"/>
      <c r="B14" s="53"/>
      <c r="C14" s="53"/>
      <c r="D14" s="53"/>
      <c r="E14" s="53"/>
      <c r="F14" s="53"/>
      <c r="G14" s="16"/>
      <c r="H14" s="16"/>
      <c r="I14" s="16"/>
      <c r="J14" s="56"/>
    </row>
    <row r="15" spans="1:14" ht="18" x14ac:dyDescent="0.25">
      <c r="A15" s="680" t="s">
        <v>122</v>
      </c>
      <c r="B15" s="680"/>
      <c r="C15" s="680"/>
      <c r="D15" s="680"/>
      <c r="E15" s="680"/>
      <c r="F15" s="680"/>
      <c r="G15" s="680"/>
      <c r="H15" s="680"/>
      <c r="I15" s="680"/>
      <c r="J15" s="681"/>
    </row>
    <row r="16" spans="1:14" ht="15" x14ac:dyDescent="0.2">
      <c r="A16" s="4"/>
      <c r="B16" s="4"/>
      <c r="C16" s="676" t="s">
        <v>117</v>
      </c>
      <c r="D16" s="677"/>
      <c r="E16" s="677"/>
      <c r="F16" s="678"/>
      <c r="G16" s="679" t="s">
        <v>118</v>
      </c>
      <c r="H16" s="679"/>
      <c r="I16" s="679"/>
      <c r="J16" s="679"/>
    </row>
    <row r="17" spans="1:10" ht="15.75" x14ac:dyDescent="0.25">
      <c r="A17" s="6" t="s">
        <v>62</v>
      </c>
      <c r="B17" s="5" t="s">
        <v>119</v>
      </c>
      <c r="C17" s="42">
        <v>0.05</v>
      </c>
      <c r="D17" s="43">
        <v>0.1</v>
      </c>
      <c r="E17" s="43">
        <v>0.15</v>
      </c>
      <c r="F17" s="43">
        <v>0.2</v>
      </c>
      <c r="G17" s="44">
        <v>0.05</v>
      </c>
      <c r="H17" s="44">
        <v>0.1</v>
      </c>
      <c r="I17" s="44">
        <v>0.15</v>
      </c>
      <c r="J17" s="44">
        <v>0.2</v>
      </c>
    </row>
    <row r="18" spans="1:10" ht="15" x14ac:dyDescent="0.2">
      <c r="A18" s="4" t="s">
        <v>113</v>
      </c>
      <c r="B18" s="45">
        <f>'INGRESOS '!N44</f>
        <v>17276194.800000001</v>
      </c>
      <c r="C18" s="46">
        <f>(B18*0.05)+B18</f>
        <v>18140004.539999999</v>
      </c>
      <c r="D18" s="46">
        <f>($B$18*0.1)+$B$18</f>
        <v>19003814.280000001</v>
      </c>
      <c r="E18" s="46">
        <f>($B$18*0.15)+$B$18</f>
        <v>19867624.02</v>
      </c>
      <c r="F18" s="46">
        <f>($B$18*0.2)+$B$18</f>
        <v>20731433.760000002</v>
      </c>
      <c r="G18" s="45">
        <f>$B$18</f>
        <v>17276194.800000001</v>
      </c>
      <c r="H18" s="45">
        <f t="shared" ref="H18:J18" si="4">$B$18</f>
        <v>17276194.800000001</v>
      </c>
      <c r="I18" s="45">
        <f t="shared" si="4"/>
        <v>17276194.800000001</v>
      </c>
      <c r="J18" s="45">
        <f t="shared" si="4"/>
        <v>17276194.800000001</v>
      </c>
    </row>
    <row r="19" spans="1:10" ht="15" x14ac:dyDescent="0.2">
      <c r="A19" s="4" t="s">
        <v>120</v>
      </c>
      <c r="B19" s="45">
        <f>'COSTOS '!S54</f>
        <v>4944527.3313467558</v>
      </c>
      <c r="C19" s="46">
        <f>B19</f>
        <v>4944527.3313467558</v>
      </c>
      <c r="D19" s="46">
        <f>B19</f>
        <v>4944527.3313467558</v>
      </c>
      <c r="E19" s="46">
        <f>B19</f>
        <v>4944527.3313467558</v>
      </c>
      <c r="F19" s="46">
        <f>B19</f>
        <v>4944527.3313467558</v>
      </c>
      <c r="G19" s="45">
        <f>(F19*0.05)+F19</f>
        <v>5191753.6979140937</v>
      </c>
      <c r="H19" s="45">
        <f>($B$19*0.1)+$B$19</f>
        <v>5438980.0644814316</v>
      </c>
      <c r="I19" s="45">
        <f>($B$19*0.15)+$B$19</f>
        <v>5686206.4310487695</v>
      </c>
      <c r="J19" s="45">
        <f>($B$19*0.2)+$B$19</f>
        <v>5933432.7976161074</v>
      </c>
    </row>
    <row r="20" spans="1:10" ht="15.75" x14ac:dyDescent="0.25">
      <c r="A20" s="4" t="s">
        <v>26</v>
      </c>
      <c r="B20" s="47">
        <f>SUM(B18-B19)</f>
        <v>12331667.468653245</v>
      </c>
      <c r="C20" s="48">
        <f t="shared" ref="C20:J20" si="5">C18-C19</f>
        <v>13195477.208653243</v>
      </c>
      <c r="D20" s="48">
        <f t="shared" si="5"/>
        <v>14059286.948653245</v>
      </c>
      <c r="E20" s="48">
        <f t="shared" si="5"/>
        <v>14923096.688653244</v>
      </c>
      <c r="F20" s="48">
        <f t="shared" si="5"/>
        <v>15786906.428653246</v>
      </c>
      <c r="G20" s="49">
        <f t="shared" si="5"/>
        <v>12084441.102085907</v>
      </c>
      <c r="H20" s="49">
        <f t="shared" si="5"/>
        <v>11837214.735518569</v>
      </c>
      <c r="I20" s="49">
        <f t="shared" si="5"/>
        <v>11589988.368951231</v>
      </c>
      <c r="J20" s="49">
        <f t="shared" si="5"/>
        <v>11342762.002383893</v>
      </c>
    </row>
    <row r="21" spans="1:10" ht="15" x14ac:dyDescent="0.2">
      <c r="A21" s="50"/>
      <c r="B21" s="15"/>
      <c r="C21" s="15"/>
      <c r="D21" s="15"/>
      <c r="E21" s="15"/>
      <c r="F21" s="15"/>
      <c r="G21" s="15"/>
      <c r="H21" s="15"/>
      <c r="I21" s="15"/>
      <c r="J21" s="54"/>
    </row>
    <row r="22" spans="1:10" ht="15.75" x14ac:dyDescent="0.25">
      <c r="A22" s="51" t="s">
        <v>121</v>
      </c>
      <c r="B22" s="52">
        <f>+B18/B19</f>
        <v>3.4940032974384292</v>
      </c>
      <c r="C22" s="52">
        <f t="shared" ref="C22:J22" si="6">+C18/C19</f>
        <v>3.6687034623103503</v>
      </c>
      <c r="D22" s="52">
        <f t="shared" si="6"/>
        <v>3.8434036271822718</v>
      </c>
      <c r="E22" s="52">
        <f t="shared" si="6"/>
        <v>4.0181037920541929</v>
      </c>
      <c r="F22" s="52">
        <f t="shared" si="6"/>
        <v>4.1928039569261149</v>
      </c>
      <c r="G22" s="52">
        <f t="shared" si="6"/>
        <v>3.327622188036599</v>
      </c>
      <c r="H22" s="52">
        <f t="shared" si="6"/>
        <v>3.1763666340349355</v>
      </c>
      <c r="I22" s="52">
        <f t="shared" si="6"/>
        <v>3.0382637369029815</v>
      </c>
      <c r="J22" s="55">
        <f t="shared" si="6"/>
        <v>2.9116694145320241</v>
      </c>
    </row>
    <row r="23" spans="1:10" ht="15.75" x14ac:dyDescent="0.25">
      <c r="A23" s="2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5.75" x14ac:dyDescent="0.25">
      <c r="A24" s="2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8" x14ac:dyDescent="0.25">
      <c r="A25" s="682" t="s">
        <v>123</v>
      </c>
      <c r="B25" s="682"/>
      <c r="C25" s="682"/>
      <c r="D25" s="682"/>
      <c r="E25" s="682"/>
      <c r="F25" s="682"/>
      <c r="G25" s="682"/>
      <c r="H25" s="682"/>
      <c r="I25" s="682"/>
      <c r="J25" s="683"/>
    </row>
    <row r="26" spans="1:10" ht="15" x14ac:dyDescent="0.2">
      <c r="A26" s="4"/>
      <c r="B26" s="4"/>
      <c r="C26" s="676" t="s">
        <v>117</v>
      </c>
      <c r="D26" s="677"/>
      <c r="E26" s="677"/>
      <c r="F26" s="678"/>
      <c r="G26" s="679" t="s">
        <v>118</v>
      </c>
      <c r="H26" s="679"/>
      <c r="I26" s="679"/>
      <c r="J26" s="679"/>
    </row>
    <row r="27" spans="1:10" ht="15.75" x14ac:dyDescent="0.25">
      <c r="A27" s="6" t="s">
        <v>62</v>
      </c>
      <c r="B27" s="5" t="s">
        <v>119</v>
      </c>
      <c r="C27" s="42">
        <v>0.05</v>
      </c>
      <c r="D27" s="43">
        <v>0.1</v>
      </c>
      <c r="E27" s="43">
        <v>0.15</v>
      </c>
      <c r="F27" s="43">
        <v>0.2</v>
      </c>
      <c r="G27" s="44">
        <v>0.05</v>
      </c>
      <c r="H27" s="44">
        <v>0.1</v>
      </c>
      <c r="I27" s="44">
        <v>0.15</v>
      </c>
      <c r="J27" s="44">
        <v>0.2</v>
      </c>
    </row>
    <row r="28" spans="1:10" ht="15" x14ac:dyDescent="0.2">
      <c r="A28" s="4" t="s">
        <v>113</v>
      </c>
      <c r="B28" s="45">
        <f>'INGRESOS '!N64</f>
        <v>20525847.041880004</v>
      </c>
      <c r="C28" s="46">
        <f>(B28*0.05)+B28</f>
        <v>21552139.393974006</v>
      </c>
      <c r="D28" s="46">
        <f>($B$28*0.1)+$B$28</f>
        <v>22578431.746068005</v>
      </c>
      <c r="E28" s="46">
        <f>($B$28*0.15)+$B$28</f>
        <v>23604724.098162003</v>
      </c>
      <c r="F28" s="46">
        <f>($B$28*0.2)+$B$28</f>
        <v>24631016.450256005</v>
      </c>
      <c r="G28" s="45">
        <f>$B$28</f>
        <v>20525847.041880004</v>
      </c>
      <c r="H28" s="45">
        <f>$B$28</f>
        <v>20525847.041880004</v>
      </c>
      <c r="I28" s="45">
        <f t="shared" ref="I28:J28" si="7">$B$28</f>
        <v>20525847.041880004</v>
      </c>
      <c r="J28" s="45">
        <f t="shared" si="7"/>
        <v>20525847.041880004</v>
      </c>
    </row>
    <row r="29" spans="1:10" ht="15" x14ac:dyDescent="0.2">
      <c r="A29" s="4" t="s">
        <v>120</v>
      </c>
      <c r="B29" s="45">
        <f>'COSTOS '!T54</f>
        <v>5038627.1626747865</v>
      </c>
      <c r="C29" s="46">
        <f>$B$29</f>
        <v>5038627.1626747865</v>
      </c>
      <c r="D29" s="46">
        <f t="shared" ref="D29:F29" si="8">$B$29</f>
        <v>5038627.1626747865</v>
      </c>
      <c r="E29" s="46">
        <f t="shared" si="8"/>
        <v>5038627.1626747865</v>
      </c>
      <c r="F29" s="46">
        <f t="shared" si="8"/>
        <v>5038627.1626747865</v>
      </c>
      <c r="G29" s="45">
        <f>(F29*0.05)+F29</f>
        <v>5290558.5208085254</v>
      </c>
      <c r="H29" s="45">
        <f>($B$29*0.1)+$B$29</f>
        <v>5542489.8789422652</v>
      </c>
      <c r="I29" s="45">
        <f>($B$29*0.15)+$B$29</f>
        <v>5794421.237076005</v>
      </c>
      <c r="J29" s="45">
        <f>($B$29*0.2)+$B$29</f>
        <v>6046352.5952097438</v>
      </c>
    </row>
    <row r="30" spans="1:10" ht="15.75" x14ac:dyDescent="0.25">
      <c r="A30" s="4" t="s">
        <v>26</v>
      </c>
      <c r="B30" s="47">
        <f>SUM(B28-B29)</f>
        <v>15487219.879205218</v>
      </c>
      <c r="C30" s="48">
        <f t="shared" ref="C30:J30" si="9">C28-C29</f>
        <v>16513512.23129922</v>
      </c>
      <c r="D30" s="48">
        <f t="shared" si="9"/>
        <v>17539804.583393216</v>
      </c>
      <c r="E30" s="48">
        <f t="shared" si="9"/>
        <v>18566096.935487218</v>
      </c>
      <c r="F30" s="48">
        <f t="shared" si="9"/>
        <v>19592389.28758122</v>
      </c>
      <c r="G30" s="49">
        <f t="shared" si="9"/>
        <v>15235288.521071479</v>
      </c>
      <c r="H30" s="49">
        <f t="shared" si="9"/>
        <v>14983357.162937738</v>
      </c>
      <c r="I30" s="49">
        <f t="shared" si="9"/>
        <v>14731425.804803999</v>
      </c>
      <c r="J30" s="49">
        <f t="shared" si="9"/>
        <v>14479494.44667026</v>
      </c>
    </row>
    <row r="31" spans="1:10" ht="15" x14ac:dyDescent="0.2">
      <c r="A31" s="50"/>
      <c r="B31" s="15"/>
      <c r="C31" s="15"/>
      <c r="D31" s="15"/>
      <c r="E31" s="15"/>
      <c r="F31" s="15"/>
      <c r="G31" s="15"/>
      <c r="H31" s="15"/>
      <c r="I31" s="15"/>
      <c r="J31" s="54"/>
    </row>
    <row r="32" spans="1:10" ht="15.75" x14ac:dyDescent="0.25">
      <c r="A32" s="51" t="s">
        <v>121</v>
      </c>
      <c r="B32" s="52">
        <f>+B28/B29</f>
        <v>4.0736983267846574</v>
      </c>
      <c r="C32" s="52">
        <f t="shared" ref="C32:J32" si="10">+C28/C29</f>
        <v>4.2773832431238912</v>
      </c>
      <c r="D32" s="52">
        <f t="shared" si="10"/>
        <v>4.4810681594631232</v>
      </c>
      <c r="E32" s="52">
        <f t="shared" si="10"/>
        <v>4.6847530758023561</v>
      </c>
      <c r="F32" s="52">
        <f t="shared" si="10"/>
        <v>4.888437992141589</v>
      </c>
      <c r="G32" s="52">
        <f t="shared" si="10"/>
        <v>3.8797126921758647</v>
      </c>
      <c r="H32" s="52">
        <f t="shared" si="10"/>
        <v>3.7033621152587797</v>
      </c>
      <c r="I32" s="52">
        <f t="shared" si="10"/>
        <v>3.5423463711170933</v>
      </c>
      <c r="J32" s="55">
        <f t="shared" si="10"/>
        <v>3.3947486056538811</v>
      </c>
    </row>
    <row r="33" spans="1:10" ht="15.75" x14ac:dyDescent="0.25">
      <c r="A33" s="12"/>
      <c r="B33" s="53"/>
      <c r="C33" s="53"/>
      <c r="D33" s="53"/>
      <c r="E33" s="53"/>
      <c r="F33" s="53"/>
      <c r="G33" s="16"/>
      <c r="H33" s="16"/>
      <c r="I33" s="16"/>
      <c r="J33" s="56"/>
    </row>
    <row r="34" spans="1:10" ht="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5.75" x14ac:dyDescent="0.25">
      <c r="A35" s="2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8" x14ac:dyDescent="0.25">
      <c r="A36" s="682" t="s">
        <v>124</v>
      </c>
      <c r="B36" s="682"/>
      <c r="C36" s="682"/>
      <c r="D36" s="682"/>
      <c r="E36" s="682"/>
      <c r="F36" s="682"/>
      <c r="G36" s="682"/>
      <c r="H36" s="682"/>
      <c r="I36" s="682"/>
      <c r="J36" s="683"/>
    </row>
    <row r="37" spans="1:10" ht="15" x14ac:dyDescent="0.2">
      <c r="A37" s="4"/>
      <c r="B37" s="4"/>
      <c r="C37" s="676" t="s">
        <v>117</v>
      </c>
      <c r="D37" s="677"/>
      <c r="E37" s="677"/>
      <c r="F37" s="678"/>
      <c r="G37" s="679" t="s">
        <v>118</v>
      </c>
      <c r="H37" s="679"/>
      <c r="I37" s="679"/>
      <c r="J37" s="679"/>
    </row>
    <row r="38" spans="1:10" ht="15.75" x14ac:dyDescent="0.25">
      <c r="A38" s="6" t="s">
        <v>62</v>
      </c>
      <c r="B38" s="5" t="s">
        <v>119</v>
      </c>
      <c r="C38" s="42">
        <v>0.05</v>
      </c>
      <c r="D38" s="43">
        <v>0.1</v>
      </c>
      <c r="E38" s="43">
        <v>0.15</v>
      </c>
      <c r="F38" s="43">
        <v>0.2</v>
      </c>
      <c r="G38" s="44">
        <v>0.05</v>
      </c>
      <c r="H38" s="44">
        <v>0.1</v>
      </c>
      <c r="I38" s="44">
        <v>0.15</v>
      </c>
      <c r="J38" s="44">
        <v>0.2</v>
      </c>
    </row>
    <row r="39" spans="1:10" ht="15" x14ac:dyDescent="0.2">
      <c r="A39" s="4" t="s">
        <v>113</v>
      </c>
      <c r="B39" s="45">
        <f>'INGRESOS '!N84</f>
        <v>23296836.392533805</v>
      </c>
      <c r="C39" s="46">
        <f>(B39*0.05)+B39</f>
        <v>24461678.212160494</v>
      </c>
      <c r="D39" s="46">
        <f>($B$28*0.1)+$B$39</f>
        <v>25349421.096721806</v>
      </c>
      <c r="E39" s="46">
        <f>($B$28*0.15)+$B$39</f>
        <v>26375713.448815808</v>
      </c>
      <c r="F39" s="46">
        <f>($B$28*0.2)+$B$39</f>
        <v>27402005.800909806</v>
      </c>
      <c r="G39" s="45">
        <f>$B$39</f>
        <v>23296836.392533805</v>
      </c>
      <c r="H39" s="45">
        <f t="shared" ref="H39:J39" si="11">$B$39</f>
        <v>23296836.392533805</v>
      </c>
      <c r="I39" s="45">
        <f t="shared" si="11"/>
        <v>23296836.392533805</v>
      </c>
      <c r="J39" s="45">
        <f t="shared" si="11"/>
        <v>23296836.392533805</v>
      </c>
    </row>
    <row r="40" spans="1:10" ht="15" x14ac:dyDescent="0.2">
      <c r="A40" s="4" t="s">
        <v>120</v>
      </c>
      <c r="B40" s="45">
        <f>'COSTOS '!U54</f>
        <v>5136333.1557727735</v>
      </c>
      <c r="C40" s="46">
        <f>$B$40</f>
        <v>5136333.1557727735</v>
      </c>
      <c r="D40" s="46">
        <f t="shared" ref="D40:F40" si="12">$B$40</f>
        <v>5136333.1557727735</v>
      </c>
      <c r="E40" s="46">
        <f t="shared" si="12"/>
        <v>5136333.1557727735</v>
      </c>
      <c r="F40" s="46">
        <f t="shared" si="12"/>
        <v>5136333.1557727735</v>
      </c>
      <c r="G40" s="45">
        <f>(F40*0.05)+F40</f>
        <v>5393149.8135614125</v>
      </c>
      <c r="H40" s="45">
        <f>($B$40*0.1)+$B$40</f>
        <v>5649966.4713500505</v>
      </c>
      <c r="I40" s="45">
        <f>($B$40*0.15)+$B$40</f>
        <v>5906783.1291386895</v>
      </c>
      <c r="J40" s="45">
        <f>($B$40*0.2)+$B$40</f>
        <v>6163599.7869273284</v>
      </c>
    </row>
    <row r="41" spans="1:10" ht="15.75" x14ac:dyDescent="0.25">
      <c r="A41" s="4" t="s">
        <v>26</v>
      </c>
      <c r="B41" s="47">
        <f>SUM(B39-B40)</f>
        <v>18160503.236761034</v>
      </c>
      <c r="C41" s="47">
        <f t="shared" ref="C41:F41" si="13">SUM(C39-C40)</f>
        <v>19325345.056387722</v>
      </c>
      <c r="D41" s="47">
        <f t="shared" si="13"/>
        <v>20213087.94094903</v>
      </c>
      <c r="E41" s="47">
        <f t="shared" si="13"/>
        <v>21239380.293043032</v>
      </c>
      <c r="F41" s="47">
        <f t="shared" si="13"/>
        <v>22265672.645137034</v>
      </c>
      <c r="G41" s="47">
        <f t="shared" ref="G41" si="14">SUM(G39-G40)</f>
        <v>17903686.578972392</v>
      </c>
      <c r="H41" s="47">
        <f t="shared" ref="H41" si="15">SUM(H39-H40)</f>
        <v>17646869.921183754</v>
      </c>
      <c r="I41" s="47">
        <f t="shared" ref="I41" si="16">SUM(I39-I40)</f>
        <v>17390053.263395116</v>
      </c>
      <c r="J41" s="47">
        <f t="shared" ref="J41" si="17">SUM(J39-J40)</f>
        <v>17133236.605606478</v>
      </c>
    </row>
    <row r="42" spans="1:10" ht="15" x14ac:dyDescent="0.2">
      <c r="A42" s="50"/>
      <c r="B42" s="15"/>
      <c r="C42" s="15"/>
      <c r="D42" s="15"/>
      <c r="E42" s="15"/>
      <c r="F42" s="15"/>
      <c r="G42" s="15"/>
      <c r="H42" s="15"/>
      <c r="I42" s="15"/>
      <c r="J42" s="54"/>
    </row>
    <row r="43" spans="1:10" ht="15.75" x14ac:dyDescent="0.25">
      <c r="A43" s="51" t="s">
        <v>121</v>
      </c>
      <c r="B43" s="52">
        <f>+B39/B40</f>
        <v>4.5356941783167377</v>
      </c>
      <c r="C43" s="52">
        <f t="shared" ref="C43:J43" si="18">+C39/C40</f>
        <v>4.7624788872325743</v>
      </c>
      <c r="D43" s="52">
        <f t="shared" si="18"/>
        <v>4.9353148107675517</v>
      </c>
      <c r="E43" s="52">
        <f t="shared" si="18"/>
        <v>5.1351251269929588</v>
      </c>
      <c r="F43" s="52">
        <f t="shared" si="18"/>
        <v>5.3349354432183649</v>
      </c>
      <c r="G43" s="52">
        <f t="shared" si="18"/>
        <v>4.3197087412540354</v>
      </c>
      <c r="H43" s="52">
        <f t="shared" si="18"/>
        <v>4.1233583439243073</v>
      </c>
      <c r="I43" s="52">
        <f t="shared" si="18"/>
        <v>3.9440818941884674</v>
      </c>
      <c r="J43" s="55">
        <f t="shared" si="18"/>
        <v>3.7797451485972813</v>
      </c>
    </row>
    <row r="44" spans="1:10" ht="15.75" x14ac:dyDescent="0.25">
      <c r="A44" s="12"/>
      <c r="B44" s="53"/>
      <c r="C44" s="53"/>
      <c r="D44" s="53"/>
      <c r="E44" s="53"/>
      <c r="F44" s="53"/>
      <c r="G44" s="16"/>
      <c r="H44" s="16"/>
      <c r="I44" s="16"/>
      <c r="J44" s="56"/>
    </row>
    <row r="45" spans="1:10" ht="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8" x14ac:dyDescent="0.25">
      <c r="A47" s="682" t="s">
        <v>125</v>
      </c>
      <c r="B47" s="682"/>
      <c r="C47" s="682"/>
      <c r="D47" s="682"/>
      <c r="E47" s="682"/>
      <c r="F47" s="682"/>
      <c r="G47" s="682"/>
      <c r="H47" s="682"/>
      <c r="I47" s="682"/>
      <c r="J47" s="683"/>
    </row>
    <row r="48" spans="1:10" ht="15" x14ac:dyDescent="0.2">
      <c r="A48" s="4"/>
      <c r="B48" s="4"/>
      <c r="C48" s="676" t="s">
        <v>117</v>
      </c>
      <c r="D48" s="677"/>
      <c r="E48" s="677"/>
      <c r="F48" s="678"/>
      <c r="G48" s="679" t="s">
        <v>118</v>
      </c>
      <c r="H48" s="679"/>
      <c r="I48" s="679"/>
      <c r="J48" s="679"/>
    </row>
    <row r="49" spans="1:10" ht="15.75" x14ac:dyDescent="0.25">
      <c r="A49" s="6" t="s">
        <v>62</v>
      </c>
      <c r="B49" s="5" t="s">
        <v>119</v>
      </c>
      <c r="C49" s="42">
        <v>0.05</v>
      </c>
      <c r="D49" s="43">
        <v>0.1</v>
      </c>
      <c r="E49" s="43">
        <v>0.15</v>
      </c>
      <c r="F49" s="43">
        <v>0.2</v>
      </c>
      <c r="G49" s="44">
        <v>0.05</v>
      </c>
      <c r="H49" s="44">
        <v>0.1</v>
      </c>
      <c r="I49" s="44">
        <v>0.15</v>
      </c>
      <c r="J49" s="44">
        <v>0.2</v>
      </c>
    </row>
    <row r="50" spans="1:10" ht="15" x14ac:dyDescent="0.2">
      <c r="A50" s="4" t="s">
        <v>113</v>
      </c>
      <c r="B50" s="45">
        <f>'INGRESOS '!N104</f>
        <v>26400344.465266056</v>
      </c>
      <c r="C50" s="46">
        <f>(B50*0.05)+B50</f>
        <v>27720361.688529357</v>
      </c>
      <c r="D50" s="46">
        <f>(B50*0.1)+B50</f>
        <v>29040378.911792662</v>
      </c>
      <c r="E50" s="46">
        <f>(B50*0.15)+B50</f>
        <v>30360396.135055967</v>
      </c>
      <c r="F50" s="46">
        <f>(B50*0.2)+B50</f>
        <v>31680413.358319268</v>
      </c>
      <c r="G50" s="45">
        <f>$B$50</f>
        <v>26400344.465266056</v>
      </c>
      <c r="H50" s="45">
        <f t="shared" ref="H50:J50" si="19">$B$50</f>
        <v>26400344.465266056</v>
      </c>
      <c r="I50" s="45">
        <f t="shared" si="19"/>
        <v>26400344.465266056</v>
      </c>
      <c r="J50" s="45">
        <f t="shared" si="19"/>
        <v>26400344.465266056</v>
      </c>
    </row>
    <row r="51" spans="1:10" ht="15" x14ac:dyDescent="0.2">
      <c r="A51" s="4" t="s">
        <v>120</v>
      </c>
      <c r="B51" s="45">
        <f>'COSTOS '!V54</f>
        <v>5237783.5085793044</v>
      </c>
      <c r="C51" s="46">
        <f>$B$51</f>
        <v>5237783.5085793044</v>
      </c>
      <c r="D51" s="46">
        <f t="shared" ref="D51:F51" si="20">$B$51</f>
        <v>5237783.5085793044</v>
      </c>
      <c r="E51" s="46">
        <f t="shared" si="20"/>
        <v>5237783.5085793044</v>
      </c>
      <c r="F51" s="46">
        <f t="shared" si="20"/>
        <v>5237783.5085793044</v>
      </c>
      <c r="G51" s="45">
        <f>(F51*0.05)+F51</f>
        <v>5499672.6840082696</v>
      </c>
      <c r="H51" s="45">
        <f>($B$51*0.1)+$B$51</f>
        <v>5761561.8594372347</v>
      </c>
      <c r="I51" s="45">
        <f>($B$51*0.15)+$B$51</f>
        <v>6023451.0348661998</v>
      </c>
      <c r="J51" s="45">
        <f>($B$51*0.2)+$B$51</f>
        <v>6285340.210295165</v>
      </c>
    </row>
    <row r="52" spans="1:10" ht="15.75" x14ac:dyDescent="0.25">
      <c r="A52" s="4" t="s">
        <v>26</v>
      </c>
      <c r="B52" s="47">
        <f>SUM(B50-B51)</f>
        <v>21162560.95668675</v>
      </c>
      <c r="C52" s="47">
        <f t="shared" ref="C52:J52" si="21">SUM(C50-C51)</f>
        <v>22482578.179950051</v>
      </c>
      <c r="D52" s="47">
        <f t="shared" si="21"/>
        <v>23802595.403213359</v>
      </c>
      <c r="E52" s="47">
        <f t="shared" si="21"/>
        <v>25122612.62647666</v>
      </c>
      <c r="F52" s="47">
        <f t="shared" si="21"/>
        <v>26442629.849739961</v>
      </c>
      <c r="G52" s="47">
        <f t="shared" si="21"/>
        <v>20900671.781257786</v>
      </c>
      <c r="H52" s="47">
        <f t="shared" si="21"/>
        <v>20638782.605828822</v>
      </c>
      <c r="I52" s="47">
        <f t="shared" si="21"/>
        <v>20376893.430399857</v>
      </c>
      <c r="J52" s="47">
        <f t="shared" si="21"/>
        <v>20115004.254970893</v>
      </c>
    </row>
    <row r="53" spans="1:10" ht="15" x14ac:dyDescent="0.2">
      <c r="A53" s="50"/>
      <c r="B53" s="15"/>
      <c r="C53" s="15"/>
      <c r="D53" s="15"/>
      <c r="E53" s="15"/>
      <c r="F53" s="15"/>
      <c r="G53" s="15"/>
      <c r="H53" s="15"/>
      <c r="I53" s="15"/>
      <c r="J53" s="54"/>
    </row>
    <row r="54" spans="1:10" ht="15.75" x14ac:dyDescent="0.25">
      <c r="A54" s="51" t="s">
        <v>121</v>
      </c>
      <c r="B54" s="52">
        <f t="shared" ref="B54:J54" si="22">+B50/B51</f>
        <v>5.0403657237881685</v>
      </c>
      <c r="C54" s="52">
        <f t="shared" si="22"/>
        <v>5.2923840099775763</v>
      </c>
      <c r="D54" s="52">
        <f t="shared" si="22"/>
        <v>5.544402296166985</v>
      </c>
      <c r="E54" s="52">
        <f t="shared" si="22"/>
        <v>5.7964205823563937</v>
      </c>
      <c r="F54" s="52">
        <f t="shared" si="22"/>
        <v>6.0484388685458015</v>
      </c>
      <c r="G54" s="52">
        <f t="shared" si="22"/>
        <v>4.8003483083696841</v>
      </c>
      <c r="H54" s="52">
        <f t="shared" si="22"/>
        <v>4.5821506579892439</v>
      </c>
      <c r="I54" s="52">
        <f t="shared" si="22"/>
        <v>4.3829267163375381</v>
      </c>
      <c r="J54" s="55">
        <f t="shared" si="22"/>
        <v>4.2003047698234734</v>
      </c>
    </row>
    <row r="55" spans="1:10" ht="15.75" x14ac:dyDescent="0.25">
      <c r="A55" s="12"/>
      <c r="B55" s="53"/>
      <c r="C55" s="53"/>
      <c r="D55" s="53"/>
      <c r="E55" s="53"/>
      <c r="F55" s="53"/>
      <c r="G55" s="16"/>
      <c r="H55" s="16"/>
      <c r="I55" s="16"/>
      <c r="J55" s="56"/>
    </row>
  </sheetData>
  <mergeCells count="15">
    <mergeCell ref="A47:J47"/>
    <mergeCell ref="C48:F48"/>
    <mergeCell ref="G48:J48"/>
    <mergeCell ref="A25:J25"/>
    <mergeCell ref="C26:F26"/>
    <mergeCell ref="G26:J26"/>
    <mergeCell ref="A36:J36"/>
    <mergeCell ref="C37:F37"/>
    <mergeCell ref="G37:J37"/>
    <mergeCell ref="A6:J6"/>
    <mergeCell ref="C7:F7"/>
    <mergeCell ref="G7:J7"/>
    <mergeCell ref="A15:J15"/>
    <mergeCell ref="C16:F16"/>
    <mergeCell ref="G16:J16"/>
  </mergeCells>
  <pageMargins left="0.5" right="0.59" top="0.41" bottom="0.55000000000000004" header="0" footer="0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28F2-A64C-1A4F-B361-656DA5AE1F99}">
  <dimension ref="B2:J20"/>
  <sheetViews>
    <sheetView tabSelected="1" zoomScaleNormal="100" workbookViewId="0">
      <selection activeCell="J6" sqref="J6"/>
    </sheetView>
  </sheetViews>
  <sheetFormatPr baseColWidth="10" defaultColWidth="11.42578125" defaultRowHeight="12.75" x14ac:dyDescent="0.2"/>
  <cols>
    <col min="4" max="4" width="20.28515625" customWidth="1"/>
    <col min="5" max="5" width="18.140625" customWidth="1"/>
    <col min="6" max="6" width="19.140625" customWidth="1"/>
    <col min="7" max="7" width="18.7109375" bestFit="1" customWidth="1"/>
    <col min="8" max="9" width="20.28515625" customWidth="1"/>
    <col min="10" max="10" width="16.28515625" bestFit="1" customWidth="1"/>
  </cols>
  <sheetData>
    <row r="2" spans="2:10" ht="21" x14ac:dyDescent="0.35">
      <c r="B2" s="684" t="s">
        <v>126</v>
      </c>
      <c r="C2" s="684"/>
      <c r="D2" s="684"/>
      <c r="E2" s="684"/>
      <c r="F2" s="684"/>
      <c r="G2" s="684"/>
      <c r="H2" s="684"/>
      <c r="I2" s="684"/>
      <c r="J2" s="35"/>
    </row>
    <row r="3" spans="2:10" ht="15" x14ac:dyDescent="0.25">
      <c r="B3" s="22"/>
      <c r="C3" s="22"/>
      <c r="D3" s="22"/>
      <c r="E3" s="22"/>
      <c r="F3" s="22"/>
      <c r="G3" s="22"/>
      <c r="H3" s="22"/>
      <c r="I3" s="22"/>
      <c r="J3" s="35"/>
    </row>
    <row r="4" spans="2:10" ht="15.75" x14ac:dyDescent="0.25">
      <c r="B4" s="22"/>
      <c r="C4" s="23" t="s">
        <v>127</v>
      </c>
      <c r="D4" s="24"/>
      <c r="E4" s="25">
        <v>0.09</v>
      </c>
      <c r="F4" s="24"/>
      <c r="G4" s="24"/>
      <c r="H4" s="24"/>
      <c r="I4" s="24"/>
      <c r="J4" s="36"/>
    </row>
    <row r="5" spans="2:10" ht="15.75" x14ac:dyDescent="0.25">
      <c r="B5" s="22"/>
      <c r="C5" s="24"/>
      <c r="D5" s="24"/>
      <c r="E5" s="24"/>
      <c r="F5" s="24"/>
      <c r="G5" s="24"/>
      <c r="H5" s="24"/>
      <c r="I5" s="24"/>
      <c r="J5" s="36"/>
    </row>
    <row r="6" spans="2:10" ht="15.75" x14ac:dyDescent="0.25">
      <c r="B6" s="22"/>
      <c r="C6" s="685" t="s">
        <v>129</v>
      </c>
      <c r="D6" s="685" t="s">
        <v>68</v>
      </c>
      <c r="E6" s="685" t="s">
        <v>130</v>
      </c>
      <c r="F6" s="687" t="s">
        <v>131</v>
      </c>
      <c r="G6" s="596" t="s">
        <v>132</v>
      </c>
      <c r="H6" s="596" t="s">
        <v>68</v>
      </c>
      <c r="I6" s="596" t="s">
        <v>69</v>
      </c>
      <c r="J6" s="36"/>
    </row>
    <row r="7" spans="2:10" ht="15.75" x14ac:dyDescent="0.25">
      <c r="B7" s="22"/>
      <c r="C7" s="686"/>
      <c r="D7" s="686"/>
      <c r="E7" s="686"/>
      <c r="F7" s="688"/>
      <c r="G7" s="596" t="s">
        <v>133</v>
      </c>
      <c r="H7" s="596" t="s">
        <v>134</v>
      </c>
      <c r="I7" s="596" t="s">
        <v>134</v>
      </c>
      <c r="J7" s="36"/>
    </row>
    <row r="8" spans="2:10" ht="15.75" x14ac:dyDescent="0.25">
      <c r="B8" s="22"/>
      <c r="C8" s="26">
        <v>0</v>
      </c>
      <c r="D8" s="27">
        <f>'INGRESOS '!N24</f>
        <v>15123330</v>
      </c>
      <c r="E8" s="27">
        <f>'COSTOS '!N53</f>
        <v>4853900.5645005992</v>
      </c>
      <c r="F8" s="27">
        <f>D8-E8</f>
        <v>10269429.4354994</v>
      </c>
      <c r="G8" s="28">
        <f>1/(1+$E$4)^C8</f>
        <v>1</v>
      </c>
      <c r="H8" s="27">
        <f>G8*D8</f>
        <v>15123330</v>
      </c>
      <c r="I8" s="37">
        <f>G8*E8</f>
        <v>4853900.5645005992</v>
      </c>
      <c r="J8" s="36"/>
    </row>
    <row r="9" spans="2:10" ht="15.75" x14ac:dyDescent="0.25">
      <c r="B9" s="22"/>
      <c r="C9" s="26">
        <v>1</v>
      </c>
      <c r="D9" s="27">
        <f>'INGRESOS '!N44</f>
        <v>17276194.800000001</v>
      </c>
      <c r="E9" s="27">
        <f>'COSTOS '!N106</f>
        <v>4944527.3313467558</v>
      </c>
      <c r="F9" s="27">
        <f>D9-E9</f>
        <v>12331667.468653245</v>
      </c>
      <c r="G9" s="28">
        <f t="shared" ref="G9:G13" si="0">1/(1+$E$4)^C9</f>
        <v>0.9174311926605504</v>
      </c>
      <c r="H9" s="27">
        <f>G9*D9</f>
        <v>15849720</v>
      </c>
      <c r="I9" s="37">
        <f>G9*E9</f>
        <v>4536263.6067401422</v>
      </c>
      <c r="J9" s="228">
        <f>H9/I9</f>
        <v>3.4940032974384296</v>
      </c>
    </row>
    <row r="10" spans="2:10" ht="15.75" x14ac:dyDescent="0.25">
      <c r="B10" s="22"/>
      <c r="C10" s="26">
        <v>2</v>
      </c>
      <c r="D10" s="27">
        <f>'INGRESOS '!N64</f>
        <v>20525847.041880004</v>
      </c>
      <c r="E10" s="27">
        <f>'COSTOS '!N159</f>
        <v>5038627.1626747865</v>
      </c>
      <c r="F10" s="27">
        <f>D10-E10</f>
        <v>15487219.879205218</v>
      </c>
      <c r="G10" s="28">
        <f t="shared" si="0"/>
        <v>0.84167999326655996</v>
      </c>
      <c r="H10" s="27">
        <f>G10*D10</f>
        <v>17276194.800000001</v>
      </c>
      <c r="I10" s="37">
        <f>G10*E10</f>
        <v>4240911.6763528204</v>
      </c>
      <c r="J10" s="228">
        <f t="shared" ref="J10:J12" si="1">H10/I10</f>
        <v>4.0736983267846574</v>
      </c>
    </row>
    <row r="11" spans="2:10" ht="15.75" x14ac:dyDescent="0.25">
      <c r="B11" s="22"/>
      <c r="C11" s="26">
        <v>3</v>
      </c>
      <c r="D11" s="27">
        <f>'INGRESOS '!N84</f>
        <v>23296836.392533805</v>
      </c>
      <c r="E11" s="27">
        <f>'COSTOS '!N212</f>
        <v>5136333.1557727735</v>
      </c>
      <c r="F11" s="27">
        <f>D11-E11</f>
        <v>18160503.236761034</v>
      </c>
      <c r="G11" s="28">
        <f t="shared" si="0"/>
        <v>0.77218348006106419</v>
      </c>
      <c r="H11" s="27">
        <f>G11*D11</f>
        <v>17989432.200000003</v>
      </c>
      <c r="I11" s="37">
        <f>G11*E11</f>
        <v>3966191.6109776483</v>
      </c>
      <c r="J11" s="228">
        <f t="shared" si="1"/>
        <v>4.5356941783167377</v>
      </c>
    </row>
    <row r="12" spans="2:10" ht="15.75" x14ac:dyDescent="0.25">
      <c r="B12" s="22"/>
      <c r="C12" s="26">
        <v>4</v>
      </c>
      <c r="D12" s="27">
        <f>'INGRESOS '!N104</f>
        <v>26400344.465266056</v>
      </c>
      <c r="E12" s="27">
        <f>'COSTOS '!N265</f>
        <v>5237783.5085793044</v>
      </c>
      <c r="F12" s="27">
        <f>D12-E12</f>
        <v>21162560.95668675</v>
      </c>
      <c r="G12" s="28">
        <f t="shared" si="0"/>
        <v>0.7084252110651964</v>
      </c>
      <c r="H12" s="27">
        <f>G12*D12</f>
        <v>18702669.599999994</v>
      </c>
      <c r="I12" s="37">
        <f>G12*E12</f>
        <v>3710577.8875790988</v>
      </c>
      <c r="J12" s="228">
        <f t="shared" si="1"/>
        <v>5.0403657237881676</v>
      </c>
    </row>
    <row r="13" spans="2:10" ht="15.75" x14ac:dyDescent="0.25">
      <c r="B13" s="22"/>
      <c r="C13" s="26">
        <v>5</v>
      </c>
      <c r="G13" s="28">
        <f t="shared" si="0"/>
        <v>0.64993138629834524</v>
      </c>
      <c r="H13" s="27"/>
      <c r="I13" s="37"/>
      <c r="J13" s="228"/>
    </row>
    <row r="14" spans="2:10" ht="15.75" x14ac:dyDescent="0.25">
      <c r="B14" s="22"/>
      <c r="C14" s="26" t="s">
        <v>26</v>
      </c>
      <c r="D14" s="29">
        <f>SUM(D8:D12)</f>
        <v>102622552.69967988</v>
      </c>
      <c r="E14" s="26"/>
      <c r="F14" s="26"/>
      <c r="G14" s="26"/>
      <c r="H14" s="29">
        <f t="shared" ref="H14:I14" si="2">SUM(H8:H13)</f>
        <v>84941346.599999994</v>
      </c>
      <c r="I14" s="29">
        <f t="shared" si="2"/>
        <v>21307845.346150309</v>
      </c>
      <c r="J14" s="597">
        <f>SUM(J9:J13)</f>
        <v>17.143761526327992</v>
      </c>
    </row>
    <row r="15" spans="2:10" ht="15.75" x14ac:dyDescent="0.25">
      <c r="B15" s="22"/>
      <c r="C15" s="24"/>
      <c r="D15" s="24"/>
      <c r="E15" s="24"/>
      <c r="F15" s="24"/>
      <c r="G15" s="24"/>
      <c r="H15" s="24"/>
      <c r="I15" s="24"/>
      <c r="J15" s="36"/>
    </row>
    <row r="16" spans="2:10" ht="15.75" x14ac:dyDescent="0.25">
      <c r="B16" s="22"/>
      <c r="C16" s="24"/>
      <c r="D16" s="24"/>
      <c r="E16" s="24"/>
      <c r="F16" s="24"/>
      <c r="G16" s="30"/>
      <c r="H16" s="24"/>
    </row>
    <row r="17" spans="2:8" ht="15.75" x14ac:dyDescent="0.25">
      <c r="B17" s="22"/>
      <c r="C17" s="24"/>
      <c r="D17" s="24"/>
      <c r="E17" s="24"/>
      <c r="F17" s="31" t="s">
        <v>135</v>
      </c>
      <c r="G17" s="32">
        <f>H14-I14</f>
        <v>63633501.253849685</v>
      </c>
      <c r="H17" s="24"/>
    </row>
    <row r="18" spans="2:8" ht="15.75" x14ac:dyDescent="0.25">
      <c r="B18" s="22"/>
      <c r="C18" s="24"/>
      <c r="D18" s="24"/>
      <c r="E18" s="24"/>
      <c r="F18" s="31" t="s">
        <v>136</v>
      </c>
      <c r="G18" s="33">
        <v>0.15</v>
      </c>
      <c r="H18" s="24"/>
    </row>
    <row r="19" spans="2:8" ht="15.75" x14ac:dyDescent="0.25">
      <c r="B19" s="22"/>
      <c r="C19" s="24"/>
      <c r="D19" s="24"/>
      <c r="E19" s="24"/>
      <c r="F19" s="31" t="s">
        <v>137</v>
      </c>
      <c r="G19" s="34">
        <f>H14/I14</f>
        <v>3.986388356969484</v>
      </c>
      <c r="H19" s="229">
        <v>1.5</v>
      </c>
    </row>
    <row r="20" spans="2:8" ht="15.75" x14ac:dyDescent="0.25">
      <c r="B20" s="22"/>
      <c r="C20" s="24"/>
      <c r="D20" s="24"/>
      <c r="E20" s="24"/>
      <c r="F20" s="24"/>
      <c r="G20" s="24"/>
      <c r="H20" s="24"/>
    </row>
  </sheetData>
  <mergeCells count="5">
    <mergeCell ref="B2:I2"/>
    <mergeCell ref="C6:C7"/>
    <mergeCell ref="D6:D7"/>
    <mergeCell ref="E6:E7"/>
    <mergeCell ref="F6:F7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4DEC-E621-9642-9F0D-656A1DF10994}">
  <dimension ref="B2:E17"/>
  <sheetViews>
    <sheetView zoomScaleSheetLayoutView="100" workbookViewId="0">
      <selection activeCell="E17" sqref="E17"/>
    </sheetView>
  </sheetViews>
  <sheetFormatPr baseColWidth="10" defaultColWidth="9.140625" defaultRowHeight="12.75" x14ac:dyDescent="0.2"/>
  <cols>
    <col min="2" max="2" width="24.28515625" bestFit="1" customWidth="1"/>
    <col min="3" max="3" width="14.85546875" bestFit="1" customWidth="1"/>
    <col min="4" max="4" width="14.140625" bestFit="1" customWidth="1"/>
    <col min="5" max="5" width="12.5703125" bestFit="1" customWidth="1"/>
  </cols>
  <sheetData>
    <row r="2" spans="2:5" ht="15" x14ac:dyDescent="0.25">
      <c r="B2" s="689" t="s">
        <v>516</v>
      </c>
      <c r="C2" s="690"/>
      <c r="D2" s="690"/>
      <c r="E2" s="691"/>
    </row>
    <row r="3" spans="2:5" ht="15" x14ac:dyDescent="0.25">
      <c r="B3" s="692" t="s">
        <v>530</v>
      </c>
      <c r="C3" s="693"/>
      <c r="D3" s="693"/>
      <c r="E3" s="694"/>
    </row>
    <row r="4" spans="2:5" ht="15" x14ac:dyDescent="0.25">
      <c r="B4" s="689" t="s">
        <v>517</v>
      </c>
      <c r="C4" s="690"/>
      <c r="D4" s="690"/>
      <c r="E4" s="691"/>
    </row>
    <row r="5" spans="2:5" x14ac:dyDescent="0.2">
      <c r="B5" s="513" t="s">
        <v>435</v>
      </c>
      <c r="C5" s="160">
        <f>BALANZA!Q33</f>
        <v>16975631</v>
      </c>
      <c r="D5" s="514">
        <v>1</v>
      </c>
      <c r="E5" s="437"/>
    </row>
    <row r="6" spans="2:5" ht="15.75" thickBot="1" x14ac:dyDescent="0.3">
      <c r="B6" s="513" t="s">
        <v>518</v>
      </c>
      <c r="C6" s="515">
        <f>BALANZA!R34</f>
        <v>3018951.09</v>
      </c>
      <c r="D6" s="516">
        <f>C6/$C$5</f>
        <v>0.17784028705619248</v>
      </c>
      <c r="E6" s="517"/>
    </row>
    <row r="7" spans="2:5" ht="15" x14ac:dyDescent="0.25">
      <c r="B7" s="513" t="s">
        <v>519</v>
      </c>
      <c r="C7" s="160">
        <f>C5-C6</f>
        <v>13956679.91</v>
      </c>
      <c r="D7" s="526"/>
      <c r="E7" s="517"/>
    </row>
    <row r="8" spans="2:5" ht="15.75" thickBot="1" x14ac:dyDescent="0.3">
      <c r="B8" s="513" t="s">
        <v>520</v>
      </c>
      <c r="C8" s="515">
        <f>BALANZA!R35</f>
        <v>3588572.55</v>
      </c>
      <c r="D8" s="516">
        <f>C8/$C$5</f>
        <v>0.21139553221909688</v>
      </c>
      <c r="E8" s="525"/>
    </row>
    <row r="9" spans="2:5" x14ac:dyDescent="0.2">
      <c r="B9" s="513" t="s">
        <v>521</v>
      </c>
      <c r="C9" s="160">
        <f>C7-C8</f>
        <v>10368107.359999999</v>
      </c>
      <c r="D9" s="519"/>
      <c r="E9" s="517"/>
    </row>
    <row r="10" spans="2:5" x14ac:dyDescent="0.2">
      <c r="B10" s="513" t="s">
        <v>522</v>
      </c>
      <c r="C10" s="160">
        <v>0</v>
      </c>
      <c r="D10" s="60"/>
      <c r="E10" s="517"/>
    </row>
    <row r="11" spans="2:5" ht="15.75" thickBot="1" x14ac:dyDescent="0.3">
      <c r="B11" s="513" t="s">
        <v>523</v>
      </c>
      <c r="C11" s="515">
        <f>BALANZA!R36</f>
        <v>389851.85</v>
      </c>
      <c r="D11" s="516">
        <f>C11/$C$5</f>
        <v>2.2965381964299293E-2</v>
      </c>
      <c r="E11" s="517"/>
    </row>
    <row r="12" spans="2:5" x14ac:dyDescent="0.2">
      <c r="B12" s="513" t="s">
        <v>524</v>
      </c>
      <c r="C12" s="160">
        <f>C9+C10-C11</f>
        <v>9978255.5099999998</v>
      </c>
      <c r="D12" s="520"/>
      <c r="E12" s="517"/>
    </row>
    <row r="13" spans="2:5" x14ac:dyDescent="0.2">
      <c r="B13" s="513" t="s">
        <v>525</v>
      </c>
      <c r="C13" s="160">
        <v>0</v>
      </c>
      <c r="D13" s="518"/>
      <c r="E13" s="517"/>
    </row>
    <row r="14" spans="2:5" ht="13.5" thickBot="1" x14ac:dyDescent="0.25">
      <c r="B14" s="513" t="s">
        <v>526</v>
      </c>
      <c r="C14" s="515">
        <v>0</v>
      </c>
      <c r="D14" s="518"/>
      <c r="E14" s="517"/>
    </row>
    <row r="15" spans="2:5" x14ac:dyDescent="0.2">
      <c r="B15" s="513" t="s">
        <v>527</v>
      </c>
      <c r="C15" s="160">
        <f>C12+C13-C14</f>
        <v>9978255.5099999998</v>
      </c>
      <c r="D15" s="520"/>
      <c r="E15" s="517"/>
    </row>
    <row r="16" spans="2:5" ht="15.75" thickBot="1" x14ac:dyDescent="0.3">
      <c r="B16" s="513" t="s">
        <v>309</v>
      </c>
      <c r="C16" s="515">
        <f>BALANZA!R37</f>
        <v>3594300.3</v>
      </c>
      <c r="D16" s="516">
        <f>C16/$C$5</f>
        <v>0.21173294235719425</v>
      </c>
      <c r="E16" s="517"/>
    </row>
    <row r="17" spans="2:5" ht="15" x14ac:dyDescent="0.25">
      <c r="B17" s="521" t="s">
        <v>528</v>
      </c>
      <c r="C17" s="522">
        <f>C15-C16</f>
        <v>6383955.21</v>
      </c>
      <c r="D17" s="523">
        <f>C17/C5</f>
        <v>0.37606585640321705</v>
      </c>
      <c r="E17" s="524" t="s">
        <v>529</v>
      </c>
    </row>
  </sheetData>
  <mergeCells count="3">
    <mergeCell ref="B2:E2"/>
    <mergeCell ref="B3:E3"/>
    <mergeCell ref="B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726A4-C596-4014-A160-D033F44729B1}">
  <dimension ref="A1:P61"/>
  <sheetViews>
    <sheetView zoomScale="86" zoomScaleNormal="85" zoomScaleSheetLayoutView="100" workbookViewId="0">
      <selection activeCell="J12" sqref="J12"/>
    </sheetView>
  </sheetViews>
  <sheetFormatPr baseColWidth="10" defaultColWidth="9.140625" defaultRowHeight="12.75" x14ac:dyDescent="0.2"/>
  <cols>
    <col min="2" max="2" width="22.5703125" customWidth="1"/>
    <col min="3" max="3" width="17.7109375" customWidth="1"/>
    <col min="4" max="4" width="14.140625" bestFit="1" customWidth="1"/>
    <col min="5" max="5" width="3.42578125" customWidth="1"/>
    <col min="6" max="6" width="32" bestFit="1" customWidth="1"/>
    <col min="7" max="7" width="16.140625" bestFit="1" customWidth="1"/>
    <col min="10" max="10" width="15.42578125" bestFit="1" customWidth="1"/>
    <col min="11" max="11" width="29.28515625" bestFit="1" customWidth="1"/>
    <col min="12" max="12" width="15" bestFit="1" customWidth="1"/>
    <col min="14" max="14" width="17.28515625" bestFit="1" customWidth="1"/>
    <col min="16" max="16" width="17.140625" bestFit="1" customWidth="1"/>
  </cols>
  <sheetData>
    <row r="1" spans="2:13" ht="15" x14ac:dyDescent="0.25">
      <c r="B1" s="696" t="s">
        <v>511</v>
      </c>
      <c r="C1" s="696"/>
      <c r="D1" s="696"/>
      <c r="E1" s="696"/>
      <c r="F1" s="696"/>
      <c r="G1" s="696"/>
      <c r="H1" s="697"/>
      <c r="K1" s="700" t="s">
        <v>511</v>
      </c>
      <c r="L1" s="701"/>
      <c r="M1" s="702"/>
    </row>
    <row r="2" spans="2:13" ht="15" x14ac:dyDescent="0.25">
      <c r="B2" s="698" t="s">
        <v>500</v>
      </c>
      <c r="C2" s="698"/>
      <c r="D2" s="698"/>
      <c r="E2" s="698"/>
      <c r="F2" s="698"/>
      <c r="G2" s="698"/>
      <c r="H2" s="699"/>
      <c r="K2" s="703" t="s">
        <v>500</v>
      </c>
      <c r="L2" s="698"/>
      <c r="M2" s="704"/>
    </row>
    <row r="3" spans="2:13" ht="15" x14ac:dyDescent="0.25">
      <c r="B3" s="696" t="s">
        <v>499</v>
      </c>
      <c r="C3" s="696"/>
      <c r="D3" s="696"/>
      <c r="E3" s="696"/>
      <c r="F3" s="696"/>
      <c r="G3" s="696"/>
      <c r="H3" s="697"/>
      <c r="K3" s="705" t="s">
        <v>499</v>
      </c>
      <c r="L3" s="696"/>
      <c r="M3" s="706"/>
    </row>
    <row r="4" spans="2:13" ht="15" x14ac:dyDescent="0.25">
      <c r="B4" s="440"/>
      <c r="C4" s="449"/>
      <c r="D4" s="449"/>
      <c r="E4" s="449"/>
      <c r="F4" s="449"/>
      <c r="G4" s="449"/>
      <c r="H4" s="454"/>
      <c r="K4" s="477"/>
      <c r="M4" s="478" t="s">
        <v>128</v>
      </c>
    </row>
    <row r="5" spans="2:13" ht="15" x14ac:dyDescent="0.25">
      <c r="B5" s="711" t="s">
        <v>498</v>
      </c>
      <c r="C5" s="708"/>
      <c r="D5" s="708"/>
      <c r="F5" s="708" t="s">
        <v>138</v>
      </c>
      <c r="G5" s="708"/>
      <c r="H5" s="710"/>
      <c r="K5" s="707" t="s">
        <v>498</v>
      </c>
      <c r="L5" s="708"/>
      <c r="M5" s="709"/>
    </row>
    <row r="6" spans="2:13" ht="15" x14ac:dyDescent="0.25">
      <c r="B6" s="448" t="s">
        <v>497</v>
      </c>
      <c r="D6" s="60"/>
      <c r="F6" s="453" t="s">
        <v>493</v>
      </c>
      <c r="H6" s="437"/>
      <c r="K6" s="479" t="s">
        <v>497</v>
      </c>
      <c r="M6" s="478"/>
    </row>
    <row r="7" spans="2:13" ht="15" x14ac:dyDescent="0.25">
      <c r="B7" s="448" t="s">
        <v>335</v>
      </c>
      <c r="C7" s="160">
        <f>BALANZA!$T$7</f>
        <v>10000</v>
      </c>
      <c r="D7" s="60"/>
      <c r="F7" s="456" t="s">
        <v>403</v>
      </c>
      <c r="G7" s="117">
        <f>BALANZA!$U$23</f>
        <v>360560</v>
      </c>
      <c r="H7" s="496"/>
      <c r="K7" s="479" t="s">
        <v>335</v>
      </c>
      <c r="L7" s="273">
        <f>BALANZA!$T$7</f>
        <v>10000</v>
      </c>
      <c r="M7" s="478"/>
    </row>
    <row r="8" spans="2:13" ht="15" x14ac:dyDescent="0.25">
      <c r="B8" s="441" t="s">
        <v>391</v>
      </c>
      <c r="C8" s="512">
        <f>BALANZA!$T$8</f>
        <v>3511169.7304492574</v>
      </c>
      <c r="D8" s="504">
        <f>C8/C32</f>
        <v>0.53957231060504041</v>
      </c>
      <c r="F8" s="457" t="s">
        <v>404</v>
      </c>
      <c r="G8" s="117"/>
      <c r="H8" s="463"/>
      <c r="K8" s="477" t="s">
        <v>391</v>
      </c>
      <c r="L8" s="117">
        <f>BALANZA!$T$8</f>
        <v>3511169.7304492574</v>
      </c>
      <c r="M8" s="507">
        <f>L8/L32</f>
        <v>0.53957231060504041</v>
      </c>
    </row>
    <row r="9" spans="2:13" ht="15" x14ac:dyDescent="0.25">
      <c r="B9" s="441" t="s">
        <v>496</v>
      </c>
      <c r="C9" s="117">
        <f>BALANZA!$T$10</f>
        <v>922417.6377661461</v>
      </c>
      <c r="D9" s="450"/>
      <c r="F9" s="457" t="s">
        <v>405</v>
      </c>
      <c r="G9" s="117">
        <f>BALANZA!$U$25</f>
        <v>32104</v>
      </c>
      <c r="H9" s="463"/>
      <c r="K9" s="477" t="s">
        <v>496</v>
      </c>
      <c r="L9" s="117">
        <f>BALANZA!$T$10</f>
        <v>922417.6377661461</v>
      </c>
      <c r="M9" s="480"/>
    </row>
    <row r="10" spans="2:13" ht="15" x14ac:dyDescent="0.25">
      <c r="B10" s="441" t="s">
        <v>501</v>
      </c>
      <c r="C10" s="117">
        <f>BALANZA!$T$11</f>
        <v>65800</v>
      </c>
      <c r="D10" s="450"/>
      <c r="F10" s="458" t="s">
        <v>406</v>
      </c>
      <c r="G10" s="470">
        <f>-BALANZA!$T$26</f>
        <v>-865534.61935980804</v>
      </c>
      <c r="H10" s="505">
        <f>G7/G18</f>
        <v>-0.46745042612036902</v>
      </c>
      <c r="K10" s="477" t="s">
        <v>501</v>
      </c>
      <c r="L10" s="117">
        <f>BALANZA!$T$11</f>
        <v>65800</v>
      </c>
      <c r="M10" s="480"/>
    </row>
    <row r="11" spans="2:13" ht="15.75" thickBot="1" x14ac:dyDescent="0.3">
      <c r="B11" s="441" t="s">
        <v>395</v>
      </c>
      <c r="C11" s="117">
        <f>BALANZA!$T$12</f>
        <v>72500</v>
      </c>
      <c r="D11" s="450"/>
      <c r="F11" s="458" t="s">
        <v>407</v>
      </c>
      <c r="G11" s="460">
        <f>BALANZA!$U$27</f>
        <v>13689</v>
      </c>
      <c r="H11" s="463"/>
      <c r="K11" s="477" t="s">
        <v>395</v>
      </c>
      <c r="L11" s="117">
        <f>BALANZA!$T$12</f>
        <v>72500</v>
      </c>
      <c r="M11" s="480"/>
    </row>
    <row r="12" spans="2:13" ht="16.5" thickTop="1" thickBot="1" x14ac:dyDescent="0.3">
      <c r="B12" s="441" t="s">
        <v>502</v>
      </c>
      <c r="C12" s="460">
        <f>BALANZA!$T$13</f>
        <v>165000</v>
      </c>
      <c r="D12" s="450"/>
      <c r="F12" s="40" t="s">
        <v>491</v>
      </c>
      <c r="G12" s="470">
        <f>SUM(G7:G11)</f>
        <v>-459181.61935980804</v>
      </c>
      <c r="H12" s="506">
        <f>G12/G18</f>
        <v>0.59530908485795253</v>
      </c>
      <c r="K12" s="477" t="s">
        <v>502</v>
      </c>
      <c r="L12" s="460">
        <f>BALANZA!$T$13</f>
        <v>165000</v>
      </c>
      <c r="M12" s="480"/>
    </row>
    <row r="13" spans="2:13" ht="15.75" thickTop="1" x14ac:dyDescent="0.25">
      <c r="B13" s="441" t="s">
        <v>495</v>
      </c>
      <c r="C13" s="117">
        <f>SUM(C7:C12)</f>
        <v>4746887.3682154035</v>
      </c>
      <c r="D13" s="501">
        <f>C13/C32</f>
        <v>0.72946886139911704</v>
      </c>
      <c r="H13" s="437"/>
      <c r="K13" s="477" t="s">
        <v>495</v>
      </c>
      <c r="L13" s="117">
        <f>SUM(L7:L12)</f>
        <v>4746887.3682154035</v>
      </c>
      <c r="M13" s="509">
        <f>L13/L32</f>
        <v>0.72946886139911704</v>
      </c>
    </row>
    <row r="14" spans="2:13" ht="15" x14ac:dyDescent="0.25">
      <c r="B14" s="441"/>
      <c r="C14" s="117"/>
      <c r="D14" s="60"/>
      <c r="F14" s="453" t="s">
        <v>504</v>
      </c>
      <c r="H14" s="437"/>
      <c r="K14" s="477"/>
      <c r="L14" s="117"/>
      <c r="M14" s="478"/>
    </row>
    <row r="15" spans="2:13" ht="13.5" thickBot="1" x14ac:dyDescent="0.25">
      <c r="B15" s="441"/>
      <c r="C15" s="117"/>
      <c r="D15" s="60"/>
      <c r="F15" s="459" t="s">
        <v>505</v>
      </c>
      <c r="G15" s="473">
        <f>-BALANZA!$T$28</f>
        <v>-312151.51</v>
      </c>
      <c r="H15" s="437"/>
      <c r="K15" s="477"/>
      <c r="L15" s="117"/>
      <c r="M15" s="478"/>
    </row>
    <row r="16" spans="2:13" ht="13.5" thickTop="1" x14ac:dyDescent="0.2">
      <c r="B16" s="441"/>
      <c r="C16" s="117"/>
      <c r="D16" s="60"/>
      <c r="F16" s="40" t="s">
        <v>515</v>
      </c>
      <c r="G16" s="470">
        <f>G15</f>
        <v>-312151.51</v>
      </c>
      <c r="H16" s="437"/>
      <c r="K16" s="477"/>
      <c r="L16" s="117"/>
      <c r="M16" s="478"/>
    </row>
    <row r="17" spans="1:16" ht="15" x14ac:dyDescent="0.25">
      <c r="B17" s="448" t="s">
        <v>494</v>
      </c>
      <c r="C17" s="117"/>
      <c r="D17" s="60"/>
      <c r="G17" s="117"/>
      <c r="H17" s="437"/>
      <c r="K17" s="479" t="s">
        <v>494</v>
      </c>
      <c r="L17" s="117"/>
      <c r="M17" s="478"/>
    </row>
    <row r="18" spans="1:16" ht="15" x14ac:dyDescent="0.25">
      <c r="A18" s="437"/>
      <c r="B18" t="s">
        <v>225</v>
      </c>
      <c r="C18" s="117">
        <f>BALANZA!$T$14</f>
        <v>604576.32000000007</v>
      </c>
      <c r="D18" s="504">
        <f>C18/C32</f>
        <v>9.2907112718174728E-2</v>
      </c>
      <c r="F18" s="452" t="s">
        <v>490</v>
      </c>
      <c r="G18" s="498">
        <f>G12+G16</f>
        <v>-771333.12935980805</v>
      </c>
      <c r="H18" s="500">
        <f>G18/G32</f>
        <v>-0.11853314725590137</v>
      </c>
      <c r="K18" s="477" t="s">
        <v>225</v>
      </c>
      <c r="L18" s="117">
        <f>BALANZA!$T$14</f>
        <v>604576.32000000007</v>
      </c>
      <c r="M18" s="507">
        <f>L18/L32</f>
        <v>9.2907112718174728E-2</v>
      </c>
    </row>
    <row r="19" spans="1:16" ht="15" x14ac:dyDescent="0.25">
      <c r="A19" s="437"/>
      <c r="B19" s="455" t="s">
        <v>398</v>
      </c>
      <c r="C19" s="117">
        <f>BALANZA!$T$16</f>
        <v>452365.55</v>
      </c>
      <c r="D19" s="450"/>
      <c r="H19" s="462"/>
      <c r="K19" s="481" t="s">
        <v>398</v>
      </c>
      <c r="L19" s="117">
        <f>BALANZA!$T$16</f>
        <v>452365.55</v>
      </c>
      <c r="M19" s="480"/>
    </row>
    <row r="20" spans="1:16" ht="15" x14ac:dyDescent="0.25">
      <c r="A20" s="437"/>
      <c r="B20" t="s">
        <v>399</v>
      </c>
      <c r="C20" s="117">
        <f>BALANZA!$T$17</f>
        <v>336644.83999999997</v>
      </c>
      <c r="D20" s="450"/>
      <c r="G20" s="443"/>
      <c r="H20" s="462"/>
      <c r="K20" s="477" t="s">
        <v>399</v>
      </c>
      <c r="L20" s="117">
        <f>BALANZA!$T$17</f>
        <v>336644.83999999997</v>
      </c>
      <c r="M20" s="480"/>
    </row>
    <row r="21" spans="1:16" ht="15" x14ac:dyDescent="0.25">
      <c r="A21" s="437"/>
      <c r="B21" s="455" t="s">
        <v>400</v>
      </c>
      <c r="C21" s="117">
        <f>BALANZA!$T$18</f>
        <v>250000</v>
      </c>
      <c r="D21" s="450"/>
      <c r="F21" s="708" t="s">
        <v>139</v>
      </c>
      <c r="G21" s="708"/>
      <c r="H21" s="710"/>
      <c r="K21" s="481" t="s">
        <v>400</v>
      </c>
      <c r="L21" s="117">
        <f>BALANZA!$T$18</f>
        <v>250000</v>
      </c>
      <c r="M21" s="480"/>
    </row>
    <row r="22" spans="1:16" ht="15" x14ac:dyDescent="0.25">
      <c r="A22" s="437"/>
      <c r="B22" s="455" t="s">
        <v>401</v>
      </c>
      <c r="C22" s="117">
        <f>BALANZA!$T$19</f>
        <v>35000</v>
      </c>
      <c r="D22" s="450"/>
      <c r="F22" t="s">
        <v>409</v>
      </c>
      <c r="G22" s="443">
        <f>BALANZA!$U$29</f>
        <v>200000</v>
      </c>
      <c r="H22" s="462"/>
      <c r="K22" s="481" t="s">
        <v>401</v>
      </c>
      <c r="L22" s="117">
        <f>BALANZA!$T$19</f>
        <v>35000</v>
      </c>
      <c r="M22" s="480"/>
    </row>
    <row r="23" spans="1:16" x14ac:dyDescent="0.2">
      <c r="A23" s="437"/>
      <c r="B23" s="455" t="s">
        <v>402</v>
      </c>
      <c r="D23" s="450"/>
      <c r="F23" t="s">
        <v>506</v>
      </c>
      <c r="G23" s="117">
        <f>BALANZA!$U$30</f>
        <v>0</v>
      </c>
      <c r="H23" s="437"/>
      <c r="K23" s="481" t="s">
        <v>402</v>
      </c>
      <c r="M23" s="480"/>
      <c r="P23" s="451"/>
    </row>
    <row r="24" spans="1:16" ht="15.75" thickBot="1" x14ac:dyDescent="0.3">
      <c r="A24" s="437"/>
      <c r="B24" s="469" t="s">
        <v>413</v>
      </c>
      <c r="C24" s="472">
        <f>-BALANZA!$T$22</f>
        <v>78154</v>
      </c>
      <c r="D24" s="450"/>
      <c r="F24" t="s">
        <v>507</v>
      </c>
      <c r="G24" s="117">
        <f>BALANZA!$U$31</f>
        <v>367638</v>
      </c>
      <c r="H24" s="462"/>
      <c r="K24" s="481" t="s">
        <v>413</v>
      </c>
      <c r="L24" s="472">
        <f>-BALANZA!$T$22</f>
        <v>78154</v>
      </c>
      <c r="M24" s="480"/>
      <c r="P24" s="451"/>
    </row>
    <row r="25" spans="1:16" ht="15.75" thickTop="1" x14ac:dyDescent="0.25">
      <c r="A25" s="437"/>
      <c r="B25" t="s">
        <v>503</v>
      </c>
      <c r="C25" s="117">
        <f>SUM(C18:C22)-C24</f>
        <v>1600432.71</v>
      </c>
      <c r="D25" s="501">
        <f>C25/C32</f>
        <v>0.24594344380842409</v>
      </c>
      <c r="F25" t="s">
        <v>508</v>
      </c>
      <c r="G25" s="117">
        <f>BALANZA!$U$32</f>
        <v>327060</v>
      </c>
      <c r="H25" s="437"/>
      <c r="K25" s="477" t="s">
        <v>503</v>
      </c>
      <c r="L25" s="117">
        <f>SUM(L18:L22)-L24</f>
        <v>1600432.71</v>
      </c>
      <c r="M25" s="509">
        <f>L25/L32</f>
        <v>0.24594344380842409</v>
      </c>
    </row>
    <row r="26" spans="1:16" ht="15.75" thickBot="1" x14ac:dyDescent="0.3">
      <c r="A26" s="437"/>
      <c r="F26" t="s">
        <v>509</v>
      </c>
      <c r="G26" s="442">
        <f>BALANZA!$U$39</f>
        <v>6383955.2100000009</v>
      </c>
      <c r="H26" s="506">
        <f>G26/G27</f>
        <v>0.87707918289460585</v>
      </c>
      <c r="K26" s="477"/>
      <c r="M26" s="482"/>
    </row>
    <row r="27" spans="1:16" ht="15" x14ac:dyDescent="0.25">
      <c r="A27" s="437"/>
      <c r="B27" s="471" t="s">
        <v>513</v>
      </c>
      <c r="D27" s="272"/>
      <c r="F27" t="s">
        <v>489</v>
      </c>
      <c r="G27" s="117">
        <f>SUM(G22:G26)</f>
        <v>7278653.2100000009</v>
      </c>
      <c r="H27" s="500">
        <f>G27/G32</f>
        <v>1.1185331472559013</v>
      </c>
      <c r="K27" s="483" t="s">
        <v>513</v>
      </c>
      <c r="M27" s="484"/>
    </row>
    <row r="28" spans="1:16" ht="13.5" thickBot="1" x14ac:dyDescent="0.25">
      <c r="B28" s="469" t="s">
        <v>430</v>
      </c>
      <c r="C28" s="442">
        <f>BALANZA!$T$21</f>
        <v>160000</v>
      </c>
      <c r="D28" s="450"/>
      <c r="H28" s="437"/>
      <c r="K28" s="481" t="s">
        <v>430</v>
      </c>
      <c r="L28" s="442">
        <f>BALANZA!$T$21</f>
        <v>160000</v>
      </c>
      <c r="M28" s="480"/>
    </row>
    <row r="29" spans="1:16" ht="15" x14ac:dyDescent="0.25">
      <c r="B29" s="441" t="s">
        <v>514</v>
      </c>
      <c r="C29" s="117">
        <f>C28</f>
        <v>160000</v>
      </c>
      <c r="D29" s="501">
        <f>C29/C32</f>
        <v>2.4587694792458883E-2</v>
      </c>
      <c r="E29" s="60"/>
      <c r="F29" s="60"/>
      <c r="G29" s="389"/>
      <c r="H29" s="437"/>
      <c r="K29" s="477" t="s">
        <v>514</v>
      </c>
      <c r="L29" s="117">
        <f>L28</f>
        <v>160000</v>
      </c>
      <c r="M29" s="509">
        <f>L29/L32</f>
        <v>2.4587694792458883E-2</v>
      </c>
    </row>
    <row r="30" spans="1:16" ht="15" x14ac:dyDescent="0.25">
      <c r="B30" s="438"/>
      <c r="C30" s="389"/>
      <c r="D30" s="450"/>
      <c r="E30" s="60"/>
      <c r="F30" s="449"/>
      <c r="G30" s="439"/>
      <c r="H30" s="474"/>
      <c r="K30" s="485"/>
      <c r="L30" s="389"/>
      <c r="M30" s="480"/>
    </row>
    <row r="31" spans="1:16" ht="13.5" thickBot="1" x14ac:dyDescent="0.25">
      <c r="B31" s="438"/>
      <c r="C31" s="461"/>
      <c r="D31" s="60"/>
      <c r="E31" s="60"/>
      <c r="F31" s="60"/>
      <c r="G31" s="389"/>
      <c r="H31" s="437"/>
      <c r="K31" s="485"/>
      <c r="L31" s="461"/>
      <c r="M31" s="478"/>
    </row>
    <row r="32" spans="1:16" ht="15.75" thickTop="1" x14ac:dyDescent="0.25">
      <c r="B32" s="447" t="s">
        <v>492</v>
      </c>
      <c r="C32" s="444">
        <f>C13+C25+C29</f>
        <v>6507320.0782154035</v>
      </c>
      <c r="D32" s="502">
        <f>C32/C32</f>
        <v>1</v>
      </c>
      <c r="E32" s="446"/>
      <c r="F32" s="445" t="s">
        <v>488</v>
      </c>
      <c r="G32" s="444">
        <f>G18+G27</f>
        <v>6507320.0806401931</v>
      </c>
      <c r="H32" s="503">
        <f>G32/G32</f>
        <v>1</v>
      </c>
      <c r="K32" s="476" t="s">
        <v>492</v>
      </c>
      <c r="L32" s="475">
        <f>L13+L25+L29</f>
        <v>6507320.0782154035</v>
      </c>
      <c r="M32" s="509">
        <f>L32/L32</f>
        <v>1</v>
      </c>
    </row>
    <row r="33" spans="3:13" ht="15" x14ac:dyDescent="0.25">
      <c r="K33" s="477"/>
      <c r="L33" s="117"/>
      <c r="M33" s="486"/>
    </row>
    <row r="34" spans="3:13" ht="15" x14ac:dyDescent="0.25">
      <c r="K34" s="707" t="s">
        <v>138</v>
      </c>
      <c r="L34" s="708"/>
      <c r="M34" s="709"/>
    </row>
    <row r="35" spans="3:13" ht="15" x14ac:dyDescent="0.25">
      <c r="F35" s="451"/>
      <c r="K35" s="479" t="s">
        <v>493</v>
      </c>
      <c r="M35" s="482"/>
    </row>
    <row r="36" spans="3:13" x14ac:dyDescent="0.2">
      <c r="K36" s="488" t="s">
        <v>403</v>
      </c>
      <c r="L36" s="117">
        <f>BALANZA!$U$23</f>
        <v>360560</v>
      </c>
      <c r="M36" s="482"/>
    </row>
    <row r="37" spans="3:13" ht="15" x14ac:dyDescent="0.25">
      <c r="K37" s="489" t="s">
        <v>404</v>
      </c>
      <c r="L37" s="117"/>
      <c r="M37" s="490"/>
    </row>
    <row r="38" spans="3:13" ht="15" x14ac:dyDescent="0.25">
      <c r="K38" s="489" t="s">
        <v>405</v>
      </c>
      <c r="L38" s="117">
        <f>BALANZA!$U$25</f>
        <v>32104</v>
      </c>
      <c r="M38" s="490"/>
    </row>
    <row r="39" spans="3:13" ht="15" x14ac:dyDescent="0.25">
      <c r="C39" s="117"/>
      <c r="D39" s="117"/>
      <c r="K39" s="491" t="s">
        <v>406</v>
      </c>
      <c r="L39" s="470">
        <f>-BALANZA!$T$26</f>
        <v>-865534.61935980804</v>
      </c>
      <c r="M39" s="508">
        <f>L36/L47</f>
        <v>-0.46745042612036902</v>
      </c>
    </row>
    <row r="40" spans="3:13" ht="15.75" thickBot="1" x14ac:dyDescent="0.3">
      <c r="K40" s="491" t="s">
        <v>407</v>
      </c>
      <c r="L40" s="460">
        <f>BALANZA!$U$27</f>
        <v>13689</v>
      </c>
      <c r="M40" s="490"/>
    </row>
    <row r="41" spans="3:13" ht="15.75" thickTop="1" x14ac:dyDescent="0.25">
      <c r="K41" s="492" t="s">
        <v>491</v>
      </c>
      <c r="L41" s="470">
        <f>SUM(L36:L40)</f>
        <v>-459181.61935980804</v>
      </c>
      <c r="M41" s="507">
        <f>L41/L47</f>
        <v>0.59530908485795253</v>
      </c>
    </row>
    <row r="42" spans="3:13" x14ac:dyDescent="0.2">
      <c r="K42" s="477"/>
      <c r="M42" s="482"/>
    </row>
    <row r="43" spans="3:13" ht="15" x14ac:dyDescent="0.25">
      <c r="K43" s="479" t="s">
        <v>504</v>
      </c>
      <c r="M43" s="482"/>
    </row>
    <row r="44" spans="3:13" ht="13.5" thickBot="1" x14ac:dyDescent="0.25">
      <c r="K44" s="493" t="s">
        <v>505</v>
      </c>
      <c r="L44" s="473">
        <f>-BALANZA!$T$28</f>
        <v>-312151.51</v>
      </c>
      <c r="M44" s="482"/>
    </row>
    <row r="45" spans="3:13" ht="13.5" thickTop="1" x14ac:dyDescent="0.2">
      <c r="K45" s="492" t="s">
        <v>515</v>
      </c>
      <c r="L45" s="470">
        <f>L44</f>
        <v>-312151.51</v>
      </c>
      <c r="M45" s="482"/>
    </row>
    <row r="46" spans="3:13" x14ac:dyDescent="0.2">
      <c r="K46" s="477"/>
      <c r="L46" s="117"/>
      <c r="M46" s="482"/>
    </row>
    <row r="47" spans="3:13" ht="15" x14ac:dyDescent="0.25">
      <c r="K47" s="487" t="s">
        <v>490</v>
      </c>
      <c r="L47" s="498">
        <f>L41+L45</f>
        <v>-771333.12935980805</v>
      </c>
      <c r="M47" s="509">
        <f>L47/L61</f>
        <v>-0.11853314725590137</v>
      </c>
    </row>
    <row r="48" spans="3:13" ht="15" x14ac:dyDescent="0.25">
      <c r="K48" s="477"/>
      <c r="M48" s="486"/>
    </row>
    <row r="49" spans="2:14" ht="15" x14ac:dyDescent="0.25">
      <c r="K49" s="477"/>
      <c r="L49" s="443"/>
      <c r="M49" s="486"/>
    </row>
    <row r="50" spans="2:14" ht="15" x14ac:dyDescent="0.25">
      <c r="K50" s="707" t="s">
        <v>139</v>
      </c>
      <c r="L50" s="708"/>
      <c r="M50" s="709"/>
    </row>
    <row r="51" spans="2:14" ht="15" x14ac:dyDescent="0.25">
      <c r="K51" s="477" t="s">
        <v>409</v>
      </c>
      <c r="L51" s="443">
        <f>BALANZA!$U$29</f>
        <v>200000</v>
      </c>
      <c r="M51" s="486"/>
    </row>
    <row r="52" spans="2:14" x14ac:dyDescent="0.2">
      <c r="K52" s="477" t="s">
        <v>506</v>
      </c>
      <c r="L52" s="117">
        <f>BALANZA!$U$30</f>
        <v>0</v>
      </c>
      <c r="M52" s="482"/>
    </row>
    <row r="53" spans="2:14" ht="15" x14ac:dyDescent="0.25">
      <c r="K53" s="477" t="s">
        <v>507</v>
      </c>
      <c r="L53" s="117">
        <f>BALANZA!$U$31</f>
        <v>367638</v>
      </c>
      <c r="M53" s="486"/>
    </row>
    <row r="54" spans="2:14" x14ac:dyDescent="0.2">
      <c r="K54" s="477" t="s">
        <v>508</v>
      </c>
      <c r="L54" s="117">
        <f>BALANZA!$U$32</f>
        <v>327060</v>
      </c>
      <c r="M54" s="482"/>
      <c r="N54" s="499"/>
    </row>
    <row r="55" spans="2:14" ht="15.75" thickBot="1" x14ac:dyDescent="0.3">
      <c r="K55" s="477" t="s">
        <v>509</v>
      </c>
      <c r="L55" s="442">
        <f>BALANZA!$U$39</f>
        <v>6383955.2100000009</v>
      </c>
      <c r="M55" s="507">
        <f>L55/L56</f>
        <v>0.87707918289460585</v>
      </c>
    </row>
    <row r="56" spans="2:14" ht="15" x14ac:dyDescent="0.25">
      <c r="K56" s="477" t="s">
        <v>489</v>
      </c>
      <c r="L56" s="117">
        <f>SUM(L51:L55)</f>
        <v>7278653.2100000009</v>
      </c>
      <c r="M56" s="509">
        <f>L56/L61</f>
        <v>1.1185331472559013</v>
      </c>
    </row>
    <row r="57" spans="2:14" x14ac:dyDescent="0.2">
      <c r="K57" s="477"/>
      <c r="M57" s="482"/>
    </row>
    <row r="58" spans="2:14" ht="15.75" x14ac:dyDescent="0.25">
      <c r="B58" s="695"/>
      <c r="C58" s="695"/>
      <c r="D58" s="695"/>
      <c r="K58" s="485"/>
      <c r="L58" s="389"/>
      <c r="M58" s="482"/>
    </row>
    <row r="59" spans="2:14" ht="15" x14ac:dyDescent="0.25">
      <c r="K59" s="476"/>
      <c r="L59" s="439"/>
      <c r="M59" s="497"/>
    </row>
    <row r="60" spans="2:14" x14ac:dyDescent="0.2">
      <c r="K60" s="485"/>
      <c r="L60" s="389"/>
      <c r="M60" s="482"/>
    </row>
    <row r="61" spans="2:14" ht="15.75" thickBot="1" x14ac:dyDescent="0.3">
      <c r="K61" s="494" t="s">
        <v>488</v>
      </c>
      <c r="L61" s="495">
        <f>L47+L56</f>
        <v>6507320.0806401931</v>
      </c>
      <c r="M61" s="510">
        <f>L61/L61</f>
        <v>1</v>
      </c>
    </row>
  </sheetData>
  <mergeCells count="13">
    <mergeCell ref="B58:D58"/>
    <mergeCell ref="B1:H1"/>
    <mergeCell ref="B2:H2"/>
    <mergeCell ref="B3:H3"/>
    <mergeCell ref="K1:M1"/>
    <mergeCell ref="K2:M2"/>
    <mergeCell ref="K3:M3"/>
    <mergeCell ref="K50:M50"/>
    <mergeCell ref="K34:M34"/>
    <mergeCell ref="K5:M5"/>
    <mergeCell ref="F21:H21"/>
    <mergeCell ref="F5:H5"/>
    <mergeCell ref="B5:D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0ED5-E816-4CE1-B4CC-DF88D3BCF558}">
  <dimension ref="C3:W130"/>
  <sheetViews>
    <sheetView topLeftCell="I17" zoomScale="70" zoomScaleNormal="70" workbookViewId="0">
      <selection activeCell="U40" sqref="U40"/>
    </sheetView>
  </sheetViews>
  <sheetFormatPr baseColWidth="10" defaultRowHeight="12.75" x14ac:dyDescent="0.2"/>
  <cols>
    <col min="3" max="3" width="21.42578125" bestFit="1" customWidth="1"/>
    <col min="4" max="4" width="13.85546875" bestFit="1" customWidth="1"/>
    <col min="5" max="5" width="8.140625" customWidth="1"/>
    <col min="6" max="6" width="16.140625" customWidth="1"/>
    <col min="8" max="8" width="12.140625" bestFit="1" customWidth="1"/>
    <col min="9" max="9" width="34.140625" bestFit="1" customWidth="1"/>
    <col min="10" max="10" width="17.7109375" bestFit="1" customWidth="1"/>
    <col min="11" max="11" width="16.5703125" bestFit="1" customWidth="1"/>
    <col min="12" max="12" width="18.85546875" bestFit="1" customWidth="1"/>
    <col min="13" max="13" width="21.28515625" bestFit="1" customWidth="1"/>
    <col min="14" max="14" width="22.140625" customWidth="1"/>
    <col min="15" max="15" width="22.140625" bestFit="1" customWidth="1"/>
    <col min="16" max="16" width="5.42578125" customWidth="1"/>
    <col min="17" max="17" width="22.140625" customWidth="1"/>
    <col min="18" max="18" width="22.42578125" bestFit="1" customWidth="1"/>
    <col min="19" max="19" width="5" customWidth="1"/>
    <col min="20" max="20" width="20.85546875" bestFit="1" customWidth="1"/>
    <col min="21" max="21" width="22.140625" bestFit="1" customWidth="1"/>
    <col min="23" max="23" width="12" bestFit="1" customWidth="1"/>
  </cols>
  <sheetData>
    <row r="3" spans="3:21" ht="18" customHeight="1" x14ac:dyDescent="0.2">
      <c r="C3" s="716">
        <v>1</v>
      </c>
      <c r="D3" s="717"/>
      <c r="E3" s="717"/>
      <c r="F3" s="718"/>
      <c r="H3" s="733"/>
      <c r="I3" s="733"/>
      <c r="J3" s="727" t="s">
        <v>484</v>
      </c>
      <c r="K3" s="730"/>
      <c r="L3" s="727" t="s">
        <v>485</v>
      </c>
      <c r="M3" s="730"/>
      <c r="N3" s="727" t="s">
        <v>420</v>
      </c>
      <c r="O3" s="712"/>
      <c r="P3" s="414"/>
      <c r="Q3" s="712" t="s">
        <v>486</v>
      </c>
      <c r="R3" s="712"/>
      <c r="S3" s="414"/>
      <c r="T3" s="725" t="s">
        <v>487</v>
      </c>
      <c r="U3" s="726"/>
    </row>
    <row r="4" spans="3:21" ht="18" customHeight="1" x14ac:dyDescent="0.25">
      <c r="C4" s="345" t="s">
        <v>414</v>
      </c>
      <c r="D4" s="736">
        <v>1127676.71</v>
      </c>
      <c r="E4" s="737"/>
      <c r="F4" s="148"/>
      <c r="H4" s="733"/>
      <c r="I4" s="733"/>
      <c r="J4" s="728"/>
      <c r="K4" s="731"/>
      <c r="L4" s="728"/>
      <c r="M4" s="731"/>
      <c r="N4" s="728"/>
      <c r="O4" s="713"/>
      <c r="P4" s="414"/>
      <c r="Q4" s="713"/>
      <c r="R4" s="713"/>
      <c r="S4" s="414"/>
      <c r="T4" s="725"/>
      <c r="U4" s="726"/>
    </row>
    <row r="5" spans="3:21" ht="18" customHeight="1" x14ac:dyDescent="0.25">
      <c r="C5" s="343"/>
      <c r="D5" s="716" t="s">
        <v>415</v>
      </c>
      <c r="E5" s="721"/>
      <c r="F5" s="353">
        <f>D4</f>
        <v>1127676.71</v>
      </c>
      <c r="H5" s="733"/>
      <c r="I5" s="733"/>
      <c r="J5" s="729"/>
      <c r="K5" s="732"/>
      <c r="L5" s="729"/>
      <c r="M5" s="732"/>
      <c r="N5" s="729"/>
      <c r="O5" s="714"/>
      <c r="P5" s="414"/>
      <c r="Q5" s="714"/>
      <c r="R5" s="714"/>
      <c r="S5" s="414"/>
      <c r="T5" s="725"/>
      <c r="U5" s="726"/>
    </row>
    <row r="6" spans="3:21" ht="15.75" x14ac:dyDescent="0.2">
      <c r="C6" s="716" t="s">
        <v>419</v>
      </c>
      <c r="D6" s="717"/>
      <c r="E6" s="717"/>
      <c r="F6" s="718"/>
      <c r="H6" s="319" t="s">
        <v>387</v>
      </c>
      <c r="I6" s="320" t="s">
        <v>388</v>
      </c>
      <c r="J6" s="319" t="s">
        <v>389</v>
      </c>
      <c r="K6" s="319" t="s">
        <v>390</v>
      </c>
      <c r="L6" s="319" t="s">
        <v>389</v>
      </c>
      <c r="M6" s="319" t="s">
        <v>390</v>
      </c>
      <c r="N6" s="341" t="s">
        <v>389</v>
      </c>
      <c r="O6" s="415" t="s">
        <v>390</v>
      </c>
      <c r="P6" s="423"/>
      <c r="Q6" s="419" t="s">
        <v>389</v>
      </c>
      <c r="R6" s="415" t="s">
        <v>390</v>
      </c>
      <c r="S6" s="423"/>
      <c r="T6" s="419" t="s">
        <v>389</v>
      </c>
      <c r="U6" s="341" t="s">
        <v>390</v>
      </c>
    </row>
    <row r="7" spans="3:21" ht="15" x14ac:dyDescent="0.25">
      <c r="C7" s="716">
        <v>2</v>
      </c>
      <c r="D7" s="717"/>
      <c r="E7" s="717"/>
      <c r="F7" s="718"/>
      <c r="H7" s="346"/>
      <c r="I7" s="322" t="s">
        <v>335</v>
      </c>
      <c r="J7" s="354">
        <v>10000</v>
      </c>
      <c r="K7" s="397"/>
      <c r="L7" s="392"/>
      <c r="M7" s="405"/>
      <c r="N7" s="394">
        <f>J7</f>
        <v>10000</v>
      </c>
      <c r="O7" s="221"/>
      <c r="P7" s="424"/>
      <c r="Q7" s="411"/>
      <c r="R7" s="221"/>
      <c r="S7" s="424"/>
      <c r="T7" s="394">
        <f>N7</f>
        <v>10000</v>
      </c>
      <c r="U7" s="209"/>
    </row>
    <row r="8" spans="3:21" ht="18.75" x14ac:dyDescent="0.25">
      <c r="C8" s="343" t="s">
        <v>301</v>
      </c>
      <c r="D8" s="738">
        <f>F9</f>
        <v>604576.32000000007</v>
      </c>
      <c r="E8" s="739"/>
      <c r="F8" s="148"/>
      <c r="H8" s="346"/>
      <c r="I8" s="323" t="s">
        <v>391</v>
      </c>
      <c r="J8" s="354">
        <v>133639</v>
      </c>
      <c r="K8" s="398"/>
      <c r="L8" s="393">
        <f>D4+D20</f>
        <v>16251006.710000001</v>
      </c>
      <c r="M8" s="409">
        <f>F9+F13+F17+F25+F29+F33+F37+F41+F45+F49</f>
        <v>12873475.979550743</v>
      </c>
      <c r="N8" s="394">
        <f>J8+L8-M8</f>
        <v>3511169.7304492574</v>
      </c>
      <c r="O8" s="221"/>
      <c r="P8" s="425"/>
      <c r="Q8" s="420"/>
      <c r="R8" s="221"/>
      <c r="S8" s="424"/>
      <c r="T8" s="394">
        <f>N8</f>
        <v>3511169.7304492574</v>
      </c>
      <c r="U8" s="340"/>
    </row>
    <row r="9" spans="3:21" ht="15" x14ac:dyDescent="0.25">
      <c r="C9" s="343"/>
      <c r="D9" s="716" t="s">
        <v>414</v>
      </c>
      <c r="E9" s="721"/>
      <c r="F9" s="344">
        <f>'CUADRO DE INVERSION'!G18</f>
        <v>604576.32000000007</v>
      </c>
      <c r="H9" s="221"/>
      <c r="I9" s="323" t="s">
        <v>392</v>
      </c>
      <c r="J9" s="354">
        <v>0</v>
      </c>
      <c r="K9" s="397"/>
      <c r="L9" s="392"/>
      <c r="M9" s="410"/>
      <c r="N9" s="411"/>
      <c r="O9" s="221"/>
      <c r="P9" s="426"/>
      <c r="Q9" s="394"/>
      <c r="R9" s="221"/>
      <c r="S9" s="424"/>
      <c r="T9" s="394">
        <f t="shared" ref="T9:T32" si="0">N9</f>
        <v>0</v>
      </c>
      <c r="U9" s="340"/>
    </row>
    <row r="10" spans="3:21" ht="15" x14ac:dyDescent="0.25">
      <c r="C10" s="716" t="s">
        <v>422</v>
      </c>
      <c r="D10" s="717"/>
      <c r="E10" s="717"/>
      <c r="F10" s="718"/>
      <c r="H10" s="221"/>
      <c r="I10" s="323" t="s">
        <v>393</v>
      </c>
      <c r="J10" s="355">
        <v>654120</v>
      </c>
      <c r="K10" s="397"/>
      <c r="L10" s="394">
        <f>D44</f>
        <v>268297.6377661461</v>
      </c>
      <c r="M10" s="410"/>
      <c r="N10" s="394">
        <f>J10+L10</f>
        <v>922417.6377661461</v>
      </c>
      <c r="O10" s="221"/>
      <c r="P10" s="426"/>
      <c r="Q10" s="394"/>
      <c r="R10" s="221"/>
      <c r="S10" s="424"/>
      <c r="T10" s="394">
        <f t="shared" si="0"/>
        <v>922417.6377661461</v>
      </c>
      <c r="U10" s="340"/>
    </row>
    <row r="11" spans="3:21" ht="15" x14ac:dyDescent="0.25">
      <c r="C11" s="716">
        <v>3</v>
      </c>
      <c r="D11" s="717"/>
      <c r="E11" s="717"/>
      <c r="F11" s="718"/>
      <c r="H11" s="221"/>
      <c r="I11" s="323" t="s">
        <v>394</v>
      </c>
      <c r="J11" s="354">
        <v>65800</v>
      </c>
      <c r="K11" s="397"/>
      <c r="L11" s="394"/>
      <c r="M11" s="410"/>
      <c r="N11" s="394">
        <f>J11</f>
        <v>65800</v>
      </c>
      <c r="O11" s="221"/>
      <c r="P11" s="426"/>
      <c r="Q11" s="394"/>
      <c r="R11" s="221"/>
      <c r="S11" s="424"/>
      <c r="T11" s="394">
        <f t="shared" si="0"/>
        <v>65800</v>
      </c>
      <c r="U11" s="340"/>
    </row>
    <row r="12" spans="3:21" ht="15" x14ac:dyDescent="0.25">
      <c r="C12" s="343" t="s">
        <v>421</v>
      </c>
      <c r="D12" s="719">
        <v>186644.84</v>
      </c>
      <c r="E12" s="720"/>
      <c r="F12" s="148"/>
      <c r="H12" s="221"/>
      <c r="I12" s="323" t="s">
        <v>395</v>
      </c>
      <c r="J12" s="354">
        <v>72500</v>
      </c>
      <c r="K12" s="397"/>
      <c r="L12" s="394"/>
      <c r="M12" s="410"/>
      <c r="N12" s="394">
        <f t="shared" ref="N12:N13" si="1">J12</f>
        <v>72500</v>
      </c>
      <c r="O12" s="221"/>
      <c r="P12" s="426"/>
      <c r="Q12" s="394"/>
      <c r="R12" s="221"/>
      <c r="S12" s="424"/>
      <c r="T12" s="394">
        <f t="shared" si="0"/>
        <v>72500</v>
      </c>
      <c r="U12" s="340"/>
    </row>
    <row r="13" spans="3:21" ht="15" x14ac:dyDescent="0.25">
      <c r="C13" s="343"/>
      <c r="D13" s="716" t="s">
        <v>414</v>
      </c>
      <c r="E13" s="721"/>
      <c r="F13" s="342">
        <v>186644.84</v>
      </c>
      <c r="H13" s="221"/>
      <c r="I13" s="323" t="s">
        <v>396</v>
      </c>
      <c r="J13" s="354">
        <v>165000</v>
      </c>
      <c r="K13" s="397"/>
      <c r="L13" s="394"/>
      <c r="M13" s="410"/>
      <c r="N13" s="394">
        <f t="shared" si="1"/>
        <v>165000</v>
      </c>
      <c r="O13" s="221"/>
      <c r="P13" s="426"/>
      <c r="Q13" s="394"/>
      <c r="R13" s="221"/>
      <c r="S13" s="424"/>
      <c r="T13" s="394">
        <f t="shared" si="0"/>
        <v>165000</v>
      </c>
      <c r="U13" s="340"/>
    </row>
    <row r="14" spans="3:21" ht="15" x14ac:dyDescent="0.25">
      <c r="C14" s="716" t="s">
        <v>423</v>
      </c>
      <c r="D14" s="717"/>
      <c r="E14" s="717"/>
      <c r="F14" s="718"/>
      <c r="H14" s="221"/>
      <c r="I14" s="322" t="s">
        <v>397</v>
      </c>
      <c r="J14" s="356">
        <v>0</v>
      </c>
      <c r="K14" s="397"/>
      <c r="L14" s="394">
        <f>D8</f>
        <v>604576.32000000007</v>
      </c>
      <c r="M14" s="410"/>
      <c r="N14" s="394">
        <f>L14</f>
        <v>604576.32000000007</v>
      </c>
      <c r="O14" s="221"/>
      <c r="P14" s="426"/>
      <c r="Q14" s="394"/>
      <c r="R14" s="221"/>
      <c r="S14" s="424"/>
      <c r="T14" s="394">
        <f t="shared" si="0"/>
        <v>604576.32000000007</v>
      </c>
      <c r="U14" s="340"/>
    </row>
    <row r="15" spans="3:21" ht="15" x14ac:dyDescent="0.25">
      <c r="C15" s="716">
        <v>4</v>
      </c>
      <c r="D15" s="717"/>
      <c r="E15" s="717"/>
      <c r="F15" s="718"/>
      <c r="H15" s="209"/>
      <c r="I15" s="321" t="s">
        <v>432</v>
      </c>
      <c r="J15" s="350"/>
      <c r="K15" s="397"/>
      <c r="L15" s="395"/>
      <c r="M15" s="397"/>
      <c r="N15" s="411"/>
      <c r="O15" s="221"/>
      <c r="P15" s="424"/>
      <c r="Q15" s="411"/>
      <c r="R15" s="221"/>
      <c r="S15" s="424"/>
      <c r="T15" s="394">
        <f t="shared" si="0"/>
        <v>0</v>
      </c>
      <c r="U15" s="340"/>
    </row>
    <row r="16" spans="3:21" ht="15" x14ac:dyDescent="0.25">
      <c r="C16" s="343" t="s">
        <v>100</v>
      </c>
      <c r="D16" s="719">
        <v>331865.55</v>
      </c>
      <c r="E16" s="720"/>
      <c r="F16" s="148"/>
      <c r="H16" s="221"/>
      <c r="I16" s="324" t="s">
        <v>398</v>
      </c>
      <c r="J16" s="357">
        <v>120500</v>
      </c>
      <c r="K16" s="397"/>
      <c r="L16" s="394">
        <f>D16</f>
        <v>331865.55</v>
      </c>
      <c r="M16" s="410"/>
      <c r="N16" s="412">
        <f>J16+L16</f>
        <v>452365.55</v>
      </c>
      <c r="O16" s="221"/>
      <c r="P16" s="426"/>
      <c r="Q16" s="394"/>
      <c r="R16" s="221"/>
      <c r="S16" s="424"/>
      <c r="T16" s="394">
        <f t="shared" si="0"/>
        <v>452365.55</v>
      </c>
      <c r="U16" s="340"/>
    </row>
    <row r="17" spans="3:21" ht="15" x14ac:dyDescent="0.25">
      <c r="C17" s="343"/>
      <c r="D17" s="716" t="s">
        <v>414</v>
      </c>
      <c r="E17" s="721"/>
      <c r="F17" s="349">
        <v>331865.55</v>
      </c>
      <c r="H17" s="221"/>
      <c r="I17" s="321" t="s">
        <v>399</v>
      </c>
      <c r="J17" s="357">
        <v>150000</v>
      </c>
      <c r="K17" s="397"/>
      <c r="L17" s="394">
        <f>D12</f>
        <v>186644.84</v>
      </c>
      <c r="M17" s="410"/>
      <c r="N17" s="412">
        <f>J17+L17</f>
        <v>336644.83999999997</v>
      </c>
      <c r="O17" s="221"/>
      <c r="P17" s="426"/>
      <c r="Q17" s="394"/>
      <c r="R17" s="221"/>
      <c r="S17" s="424"/>
      <c r="T17" s="394">
        <f t="shared" si="0"/>
        <v>336644.83999999997</v>
      </c>
      <c r="U17" s="340"/>
    </row>
    <row r="18" spans="3:21" ht="15" x14ac:dyDescent="0.25">
      <c r="C18" s="716" t="s">
        <v>424</v>
      </c>
      <c r="D18" s="717"/>
      <c r="E18" s="717"/>
      <c r="F18" s="718"/>
      <c r="H18" s="221"/>
      <c r="I18" s="324" t="s">
        <v>400</v>
      </c>
      <c r="J18" s="356">
        <v>250000</v>
      </c>
      <c r="K18" s="397"/>
      <c r="L18" s="394"/>
      <c r="M18" s="410"/>
      <c r="N18" s="412">
        <f t="shared" ref="N18:N21" si="2">J18+L18</f>
        <v>250000</v>
      </c>
      <c r="O18" s="221"/>
      <c r="P18" s="426"/>
      <c r="Q18" s="394"/>
      <c r="R18" s="221"/>
      <c r="S18" s="424"/>
      <c r="T18" s="394">
        <f t="shared" si="0"/>
        <v>250000</v>
      </c>
      <c r="U18" s="340"/>
    </row>
    <row r="19" spans="3:21" ht="15" x14ac:dyDescent="0.25">
      <c r="C19" s="716">
        <v>5</v>
      </c>
      <c r="D19" s="717"/>
      <c r="E19" s="717"/>
      <c r="F19" s="718"/>
      <c r="H19" s="221"/>
      <c r="I19" s="324" t="s">
        <v>401</v>
      </c>
      <c r="J19" s="356">
        <v>35000</v>
      </c>
      <c r="K19" s="397"/>
      <c r="L19" s="394"/>
      <c r="M19" s="410"/>
      <c r="N19" s="412">
        <f t="shared" si="2"/>
        <v>35000</v>
      </c>
      <c r="O19" s="221"/>
      <c r="P19" s="426"/>
      <c r="Q19" s="394"/>
      <c r="R19" s="221"/>
      <c r="S19" s="424"/>
      <c r="T19" s="394">
        <f t="shared" si="0"/>
        <v>35000</v>
      </c>
      <c r="U19" s="340"/>
    </row>
    <row r="20" spans="3:21" ht="15" x14ac:dyDescent="0.25">
      <c r="C20" s="343" t="s">
        <v>414</v>
      </c>
      <c r="D20" s="719">
        <v>15123330</v>
      </c>
      <c r="E20" s="720"/>
      <c r="F20" s="148"/>
      <c r="H20" s="221"/>
      <c r="I20" s="324" t="s">
        <v>402</v>
      </c>
      <c r="J20" s="358">
        <v>0</v>
      </c>
      <c r="K20" s="397"/>
      <c r="L20" s="394"/>
      <c r="M20" s="410"/>
      <c r="N20" s="412">
        <f t="shared" si="2"/>
        <v>0</v>
      </c>
      <c r="O20" s="221"/>
      <c r="P20" s="426"/>
      <c r="Q20" s="394"/>
      <c r="R20" s="221"/>
      <c r="S20" s="424"/>
      <c r="T20" s="394">
        <f t="shared" si="0"/>
        <v>0</v>
      </c>
      <c r="U20" s="340"/>
    </row>
    <row r="21" spans="3:21" ht="15" x14ac:dyDescent="0.25">
      <c r="C21" s="343"/>
      <c r="D21" s="716" t="s">
        <v>113</v>
      </c>
      <c r="E21" s="721"/>
      <c r="F21" s="342">
        <v>15123330</v>
      </c>
      <c r="H21" s="221"/>
      <c r="I21" s="323" t="s">
        <v>430</v>
      </c>
      <c r="J21" s="359">
        <f>160000</f>
        <v>160000</v>
      </c>
      <c r="K21" s="397"/>
      <c r="L21" s="394"/>
      <c r="M21" s="397"/>
      <c r="N21" s="412">
        <f t="shared" si="2"/>
        <v>160000</v>
      </c>
      <c r="O21" s="221"/>
      <c r="P21" s="424"/>
      <c r="Q21" s="411"/>
      <c r="R21" s="221"/>
      <c r="S21" s="424"/>
      <c r="T21" s="394">
        <f t="shared" si="0"/>
        <v>160000</v>
      </c>
      <c r="U21" s="340"/>
    </row>
    <row r="22" spans="3:21" ht="15" x14ac:dyDescent="0.25">
      <c r="C22" s="716" t="s">
        <v>426</v>
      </c>
      <c r="D22" s="717"/>
      <c r="E22" s="717"/>
      <c r="F22" s="721"/>
      <c r="H22" s="221"/>
      <c r="I22" s="329" t="s">
        <v>413</v>
      </c>
      <c r="J22" s="468">
        <v>-78154</v>
      </c>
      <c r="K22" s="321"/>
      <c r="L22" s="340"/>
      <c r="M22" s="429"/>
      <c r="N22" s="467">
        <f>J22</f>
        <v>-78154</v>
      </c>
      <c r="O22" s="321"/>
      <c r="P22" s="426"/>
      <c r="Q22" s="394"/>
      <c r="R22" s="221"/>
      <c r="S22" s="424"/>
      <c r="T22" s="340">
        <f>N22</f>
        <v>-78154</v>
      </c>
      <c r="U22" s="321"/>
    </row>
    <row r="23" spans="3:21" ht="15" x14ac:dyDescent="0.25">
      <c r="C23" s="716">
        <v>6</v>
      </c>
      <c r="D23" s="717"/>
      <c r="E23" s="717"/>
      <c r="F23" s="718"/>
      <c r="H23" s="221"/>
      <c r="I23" s="330" t="s">
        <v>403</v>
      </c>
      <c r="J23" s="350"/>
      <c r="K23" s="399">
        <v>360560</v>
      </c>
      <c r="L23" s="394"/>
      <c r="M23" s="410"/>
      <c r="N23" s="411"/>
      <c r="O23" s="416">
        <f t="shared" ref="O23:O25" si="3">K23</f>
        <v>360560</v>
      </c>
      <c r="P23" s="426"/>
      <c r="Q23" s="394"/>
      <c r="R23" s="221"/>
      <c r="S23" s="424"/>
      <c r="T23" s="394">
        <f t="shared" si="0"/>
        <v>0</v>
      </c>
      <c r="U23" s="340">
        <f t="shared" ref="U23:U32" si="4">O23</f>
        <v>360560</v>
      </c>
    </row>
    <row r="24" spans="3:21" ht="15" x14ac:dyDescent="0.25">
      <c r="C24" s="343" t="s">
        <v>416</v>
      </c>
      <c r="D24" s="719">
        <v>2364831.09</v>
      </c>
      <c r="E24" s="720"/>
      <c r="F24" s="148"/>
      <c r="H24" s="221"/>
      <c r="I24" s="325" t="s">
        <v>404</v>
      </c>
      <c r="J24" s="350"/>
      <c r="K24" s="399">
        <v>0</v>
      </c>
      <c r="L24" s="394"/>
      <c r="M24" s="410"/>
      <c r="N24" s="411"/>
      <c r="O24" s="416">
        <f t="shared" si="3"/>
        <v>0</v>
      </c>
      <c r="P24" s="426"/>
      <c r="Q24" s="394"/>
      <c r="R24" s="221"/>
      <c r="S24" s="424"/>
      <c r="T24" s="394">
        <f t="shared" si="0"/>
        <v>0</v>
      </c>
      <c r="U24" s="340">
        <f t="shared" si="4"/>
        <v>0</v>
      </c>
    </row>
    <row r="25" spans="3:21" ht="15" x14ac:dyDescent="0.25">
      <c r="C25" s="343"/>
      <c r="D25" s="716" t="s">
        <v>414</v>
      </c>
      <c r="E25" s="721"/>
      <c r="F25" s="342">
        <v>2364831.09</v>
      </c>
      <c r="H25" s="221"/>
      <c r="I25" s="325" t="s">
        <v>405</v>
      </c>
      <c r="J25" s="350"/>
      <c r="K25" s="399">
        <v>32104</v>
      </c>
      <c r="L25" s="394"/>
      <c r="M25" s="410"/>
      <c r="N25" s="411"/>
      <c r="O25" s="416">
        <f t="shared" si="3"/>
        <v>32104</v>
      </c>
      <c r="P25" s="426"/>
      <c r="Q25" s="394"/>
      <c r="R25" s="221"/>
      <c r="S25" s="424"/>
      <c r="T25" s="394">
        <f t="shared" si="0"/>
        <v>0</v>
      </c>
      <c r="U25" s="340">
        <f t="shared" si="4"/>
        <v>32104</v>
      </c>
    </row>
    <row r="26" spans="3:21" ht="15" x14ac:dyDescent="0.25">
      <c r="C26" s="716" t="s">
        <v>425</v>
      </c>
      <c r="D26" s="717"/>
      <c r="E26" s="717"/>
      <c r="F26" s="721"/>
      <c r="H26" s="221"/>
      <c r="I26" s="326" t="s">
        <v>406</v>
      </c>
      <c r="J26" s="350"/>
      <c r="K26" s="400">
        <v>950</v>
      </c>
      <c r="L26" s="394">
        <f>D48</f>
        <v>866484.61935980804</v>
      </c>
      <c r="M26" s="407"/>
      <c r="N26" s="340">
        <f>L26-K26</f>
        <v>865534.61935980804</v>
      </c>
      <c r="O26" s="413"/>
      <c r="P26" s="424"/>
      <c r="Q26" s="411"/>
      <c r="R26" s="221"/>
      <c r="S26" s="424"/>
      <c r="T26" s="394">
        <f t="shared" si="0"/>
        <v>865534.61935980804</v>
      </c>
      <c r="U26" s="340">
        <f t="shared" si="4"/>
        <v>0</v>
      </c>
    </row>
    <row r="27" spans="3:21" ht="15" x14ac:dyDescent="0.25">
      <c r="C27" s="716">
        <v>7</v>
      </c>
      <c r="D27" s="717"/>
      <c r="E27" s="717"/>
      <c r="F27" s="718"/>
      <c r="H27" s="221"/>
      <c r="I27" s="326" t="s">
        <v>407</v>
      </c>
      <c r="J27" s="350"/>
      <c r="K27" s="400">
        <v>13689</v>
      </c>
      <c r="L27" s="394"/>
      <c r="M27" s="410"/>
      <c r="N27" s="411"/>
      <c r="O27" s="417">
        <f>K27</f>
        <v>13689</v>
      </c>
      <c r="P27" s="426"/>
      <c r="Q27" s="394"/>
      <c r="R27" s="221"/>
      <c r="S27" s="424"/>
      <c r="T27" s="394">
        <f t="shared" si="0"/>
        <v>0</v>
      </c>
      <c r="U27" s="340">
        <f t="shared" si="4"/>
        <v>13689</v>
      </c>
    </row>
    <row r="28" spans="3:21" ht="15" x14ac:dyDescent="0.25">
      <c r="C28" s="343" t="s">
        <v>417</v>
      </c>
      <c r="D28" s="719">
        <v>2835915.55</v>
      </c>
      <c r="E28" s="720"/>
      <c r="F28" s="148"/>
      <c r="H28" s="221"/>
      <c r="I28" s="321" t="s">
        <v>408</v>
      </c>
      <c r="J28" s="350"/>
      <c r="K28" s="401">
        <v>0</v>
      </c>
      <c r="L28" s="388">
        <f>D32</f>
        <v>1439828.22</v>
      </c>
      <c r="M28" s="410">
        <f>F5</f>
        <v>1127676.71</v>
      </c>
      <c r="N28" s="412">
        <f>L28-M28</f>
        <v>312151.51</v>
      </c>
      <c r="O28" s="221"/>
      <c r="P28" s="426"/>
      <c r="Q28" s="394"/>
      <c r="R28" s="221"/>
      <c r="S28" s="424"/>
      <c r="T28" s="394">
        <f t="shared" si="0"/>
        <v>312151.51</v>
      </c>
      <c r="U28" s="340">
        <f t="shared" si="4"/>
        <v>0</v>
      </c>
    </row>
    <row r="29" spans="3:21" ht="15" x14ac:dyDescent="0.25">
      <c r="C29" s="343"/>
      <c r="D29" s="716" t="s">
        <v>414</v>
      </c>
      <c r="E29" s="721"/>
      <c r="F29" s="342">
        <v>2835915.55</v>
      </c>
      <c r="H29" s="221"/>
      <c r="I29" s="323" t="s">
        <v>409</v>
      </c>
      <c r="J29" s="350"/>
      <c r="K29" s="399">
        <v>200000</v>
      </c>
      <c r="L29" s="394"/>
      <c r="M29" s="410"/>
      <c r="N29" s="411"/>
      <c r="O29" s="417">
        <f>K29</f>
        <v>200000</v>
      </c>
      <c r="P29" s="426"/>
      <c r="Q29" s="394"/>
      <c r="R29" s="221"/>
      <c r="S29" s="424"/>
      <c r="T29" s="394">
        <f t="shared" si="0"/>
        <v>0</v>
      </c>
      <c r="U29" s="340">
        <f t="shared" si="4"/>
        <v>200000</v>
      </c>
    </row>
    <row r="30" spans="3:21" ht="15" x14ac:dyDescent="0.25">
      <c r="C30" s="716" t="s">
        <v>427</v>
      </c>
      <c r="D30" s="717"/>
      <c r="E30" s="717"/>
      <c r="F30" s="721"/>
      <c r="H30" s="221"/>
      <c r="I30" s="323" t="s">
        <v>410</v>
      </c>
      <c r="J30" s="350"/>
      <c r="K30" s="399">
        <v>0</v>
      </c>
      <c r="L30" s="394"/>
      <c r="M30" s="410"/>
      <c r="N30" s="411"/>
      <c r="O30" s="221"/>
      <c r="P30" s="426"/>
      <c r="Q30" s="394"/>
      <c r="R30" s="221"/>
      <c r="S30" s="424"/>
      <c r="T30" s="394">
        <f t="shared" si="0"/>
        <v>0</v>
      </c>
      <c r="U30" s="340">
        <f t="shared" si="4"/>
        <v>0</v>
      </c>
    </row>
    <row r="31" spans="3:21" ht="15" x14ac:dyDescent="0.25">
      <c r="C31" s="716">
        <v>8</v>
      </c>
      <c r="D31" s="717"/>
      <c r="E31" s="717"/>
      <c r="F31" s="718"/>
      <c r="H31" s="221"/>
      <c r="I31" s="323" t="s">
        <v>411</v>
      </c>
      <c r="J31" s="350"/>
      <c r="K31" s="402">
        <v>367638</v>
      </c>
      <c r="L31" s="394"/>
      <c r="M31" s="410"/>
      <c r="N31" s="411"/>
      <c r="O31" s="417">
        <f>K31</f>
        <v>367638</v>
      </c>
      <c r="P31" s="426"/>
      <c r="Q31" s="394"/>
      <c r="R31" s="221"/>
      <c r="S31" s="424"/>
      <c r="T31" s="394">
        <f t="shared" si="0"/>
        <v>0</v>
      </c>
      <c r="U31" s="340">
        <f t="shared" si="4"/>
        <v>367638</v>
      </c>
    </row>
    <row r="32" spans="3:21" ht="15" x14ac:dyDescent="0.25">
      <c r="C32" s="343" t="s">
        <v>415</v>
      </c>
      <c r="D32" s="719">
        <v>1439828.22</v>
      </c>
      <c r="E32" s="720"/>
      <c r="F32" s="148"/>
      <c r="H32" s="221"/>
      <c r="I32" s="327" t="s">
        <v>412</v>
      </c>
      <c r="J32" s="350"/>
      <c r="K32" s="403">
        <v>327060</v>
      </c>
      <c r="L32" s="394"/>
      <c r="M32" s="410"/>
      <c r="N32" s="411"/>
      <c r="O32" s="417">
        <f>K32</f>
        <v>327060</v>
      </c>
      <c r="P32" s="426"/>
      <c r="Q32" s="394"/>
      <c r="R32" s="221"/>
      <c r="S32" s="424"/>
      <c r="T32" s="394">
        <f t="shared" si="0"/>
        <v>0</v>
      </c>
      <c r="U32" s="340">
        <f t="shared" si="4"/>
        <v>327060</v>
      </c>
    </row>
    <row r="33" spans="3:23" ht="15" x14ac:dyDescent="0.25">
      <c r="C33" s="343"/>
      <c r="D33" s="716" t="s">
        <v>414</v>
      </c>
      <c r="E33" s="721"/>
      <c r="F33" s="342">
        <f>D32</f>
        <v>1439828.22</v>
      </c>
      <c r="H33" s="221"/>
      <c r="I33" s="321" t="s">
        <v>435</v>
      </c>
      <c r="J33" s="350"/>
      <c r="K33" s="404">
        <v>1852301</v>
      </c>
      <c r="L33" s="412"/>
      <c r="M33" s="433">
        <f>'LIBRO MAYOR'!C18</f>
        <v>15123330</v>
      </c>
      <c r="N33" s="411"/>
      <c r="O33" s="417">
        <f>M33-L33+K33</f>
        <v>16975631</v>
      </c>
      <c r="P33" s="426"/>
      <c r="Q33" s="394">
        <f>'LIBRO MAYOR'!$B$20</f>
        <v>16975631</v>
      </c>
      <c r="R33" s="429"/>
      <c r="S33" s="424"/>
      <c r="T33" s="394"/>
      <c r="U33" s="340"/>
    </row>
    <row r="34" spans="3:23" ht="15" x14ac:dyDescent="0.25">
      <c r="C34" s="716" t="s">
        <v>428</v>
      </c>
      <c r="D34" s="717"/>
      <c r="E34" s="717"/>
      <c r="F34" s="721"/>
      <c r="H34" s="221"/>
      <c r="I34" s="321" t="s">
        <v>416</v>
      </c>
      <c r="J34" s="351">
        <v>654120</v>
      </c>
      <c r="K34" s="404"/>
      <c r="L34" s="412">
        <f>D24</f>
        <v>2364831.09</v>
      </c>
      <c r="M34" s="433"/>
      <c r="N34" s="386">
        <f>L34+J34</f>
        <v>3018951.09</v>
      </c>
      <c r="O34" s="413"/>
      <c r="P34" s="427"/>
      <c r="Q34" s="412"/>
      <c r="R34" s="417">
        <f>'LIBRO MAYOR'!$K$18</f>
        <v>3018951.09</v>
      </c>
      <c r="S34" s="424"/>
      <c r="T34" s="394"/>
      <c r="U34" s="340">
        <f>N34-R34</f>
        <v>0</v>
      </c>
    </row>
    <row r="35" spans="3:23" ht="15" x14ac:dyDescent="0.25">
      <c r="C35" s="716">
        <v>9</v>
      </c>
      <c r="D35" s="717"/>
      <c r="E35" s="717"/>
      <c r="F35" s="721"/>
      <c r="H35" s="209"/>
      <c r="I35" s="321" t="s">
        <v>436</v>
      </c>
      <c r="J35" s="351">
        <f>385245+367412</f>
        <v>752657</v>
      </c>
      <c r="K35" s="404"/>
      <c r="L35" s="412">
        <f>'LIBRO MAYOR'!N18</f>
        <v>2835915.55</v>
      </c>
      <c r="M35" s="405"/>
      <c r="N35" s="412">
        <f>J35+L35</f>
        <v>3588572.55</v>
      </c>
      <c r="O35" s="221"/>
      <c r="P35" s="427"/>
      <c r="Q35" s="412"/>
      <c r="R35" s="417">
        <f>'LIBRO MAYOR'!$O$18</f>
        <v>3588572.55</v>
      </c>
      <c r="S35" s="424"/>
      <c r="T35" s="394"/>
      <c r="U35" s="340">
        <f t="shared" ref="U35:U37" si="5">N35-R35</f>
        <v>0</v>
      </c>
    </row>
    <row r="36" spans="3:23" ht="15" x14ac:dyDescent="0.25">
      <c r="C36" s="343" t="s">
        <v>418</v>
      </c>
      <c r="D36" s="719">
        <v>380731.85</v>
      </c>
      <c r="E36" s="720"/>
      <c r="F36" s="148"/>
      <c r="H36" s="321"/>
      <c r="I36" s="321" t="s">
        <v>437</v>
      </c>
      <c r="J36" s="351">
        <v>9120</v>
      </c>
      <c r="K36" s="404"/>
      <c r="L36" s="412">
        <f>'LIBRO MAYOR'!B27</f>
        <v>380731.85</v>
      </c>
      <c r="M36" s="405"/>
      <c r="N36" s="412">
        <f>L36+J36</f>
        <v>389851.85</v>
      </c>
      <c r="O36" s="221"/>
      <c r="P36" s="427"/>
      <c r="Q36" s="412"/>
      <c r="R36" s="417">
        <f>'LIBRO MAYOR'!$C$27</f>
        <v>389851.85</v>
      </c>
      <c r="S36" s="431"/>
      <c r="T36" s="394"/>
      <c r="U36" s="340">
        <f t="shared" si="5"/>
        <v>0</v>
      </c>
    </row>
    <row r="37" spans="3:23" ht="15" x14ac:dyDescent="0.25">
      <c r="C37" s="343"/>
      <c r="D37" s="716" t="s">
        <v>414</v>
      </c>
      <c r="E37" s="721"/>
      <c r="F37" s="342">
        <v>380731.85</v>
      </c>
      <c r="H37" s="321"/>
      <c r="I37" s="321" t="s">
        <v>270</v>
      </c>
      <c r="J37" s="209"/>
      <c r="K37" s="405"/>
      <c r="L37" s="412">
        <f>'LIBRO MAYOR'!F27</f>
        <v>3594300.3</v>
      </c>
      <c r="M37" s="405"/>
      <c r="N37" s="386">
        <f>L37</f>
        <v>3594300.3</v>
      </c>
      <c r="O37" s="413"/>
      <c r="P37" s="427"/>
      <c r="Q37" s="412"/>
      <c r="R37" s="417">
        <f>'LIBRO MAYOR'!$G$27</f>
        <v>3594300.3</v>
      </c>
      <c r="S37" s="424"/>
      <c r="T37" s="394"/>
      <c r="U37" s="340">
        <f t="shared" si="5"/>
        <v>0</v>
      </c>
      <c r="W37" t="s">
        <v>512</v>
      </c>
    </row>
    <row r="38" spans="3:23" ht="15" x14ac:dyDescent="0.25">
      <c r="C38" s="716" t="s">
        <v>429</v>
      </c>
      <c r="D38" s="717"/>
      <c r="E38" s="717"/>
      <c r="F38" s="721"/>
      <c r="H38" s="321"/>
      <c r="I38" s="361" t="s">
        <v>438</v>
      </c>
      <c r="J38" s="387"/>
      <c r="K38" s="406"/>
      <c r="L38" s="411"/>
      <c r="M38" s="434"/>
      <c r="N38" s="411"/>
      <c r="O38" s="221"/>
      <c r="P38" s="427"/>
      <c r="Q38" s="421">
        <f>'LIBRO MAYOR'!$B$40</f>
        <v>13956679.91</v>
      </c>
      <c r="R38" s="417">
        <f>F57</f>
        <v>13956679.91</v>
      </c>
      <c r="S38" s="424"/>
      <c r="T38" s="394"/>
      <c r="U38" s="340">
        <f>Q38-R38</f>
        <v>0</v>
      </c>
    </row>
    <row r="39" spans="3:23" ht="15" x14ac:dyDescent="0.25">
      <c r="C39" s="716">
        <v>10</v>
      </c>
      <c r="D39" s="717"/>
      <c r="E39" s="717"/>
      <c r="F39" s="718"/>
      <c r="H39" s="321"/>
      <c r="I39" s="321" t="s">
        <v>483</v>
      </c>
      <c r="J39" s="328">
        <f>436404</f>
        <v>436404</v>
      </c>
      <c r="K39" s="328">
        <f>436404</f>
        <v>436404</v>
      </c>
      <c r="L39" s="411"/>
      <c r="M39" s="433"/>
      <c r="N39" s="411"/>
      <c r="O39" s="221"/>
      <c r="P39" s="427"/>
      <c r="Q39" s="411"/>
      <c r="R39" s="417">
        <f>'LIBRO MAYOR'!$G$35</f>
        <v>6383955.2100000009</v>
      </c>
      <c r="S39" s="424"/>
      <c r="T39" s="394"/>
      <c r="U39" s="340">
        <f>R39</f>
        <v>6383955.2100000009</v>
      </c>
    </row>
    <row r="40" spans="3:23" ht="15" x14ac:dyDescent="0.25">
      <c r="C40" s="343" t="s">
        <v>270</v>
      </c>
      <c r="D40" s="719">
        <f>SENSIBILIDAD!L11</f>
        <v>3594300.3024247899</v>
      </c>
      <c r="E40" s="720"/>
      <c r="F40" s="148"/>
      <c r="H40" s="221"/>
      <c r="I40" s="321"/>
      <c r="J40" s="360">
        <f>SUM(J7:J39)</f>
        <v>3590706</v>
      </c>
      <c r="K40" s="408">
        <f>SUM(K7:K39)</f>
        <v>3590706</v>
      </c>
      <c r="L40" s="396">
        <f>SUM(L7:L39)</f>
        <v>29124482.687125955</v>
      </c>
      <c r="M40" s="408">
        <f>SUM(M7:M39)</f>
        <v>29124482.689550743</v>
      </c>
      <c r="N40" s="396">
        <f>SUM(N7:N37)</f>
        <v>18276681.997575209</v>
      </c>
      <c r="O40" s="418">
        <f>SUM(O7:O34)</f>
        <v>18276682</v>
      </c>
      <c r="P40" s="428"/>
      <c r="Q40" s="422">
        <f>SUM(L7:L39)</f>
        <v>29124482.687125955</v>
      </c>
      <c r="R40" s="430">
        <f>SUM(M7:M39)</f>
        <v>29124482.689550743</v>
      </c>
      <c r="S40" s="432"/>
      <c r="T40" s="422">
        <f>SUM(T7:T39)</f>
        <v>7685006.2075752113</v>
      </c>
      <c r="U40" s="347">
        <f>SUM(U8:U39)</f>
        <v>7685006.2100000009</v>
      </c>
    </row>
    <row r="41" spans="3:23" x14ac:dyDescent="0.2">
      <c r="C41" s="343"/>
      <c r="D41" s="716" t="s">
        <v>414</v>
      </c>
      <c r="E41" s="721"/>
      <c r="F41" s="342">
        <f>D40</f>
        <v>3594300.3024247899</v>
      </c>
      <c r="I41" s="321"/>
      <c r="J41" s="321"/>
      <c r="K41" s="321"/>
    </row>
    <row r="42" spans="3:23" x14ac:dyDescent="0.2">
      <c r="C42" s="716" t="s">
        <v>439</v>
      </c>
      <c r="D42" s="717"/>
      <c r="E42" s="717"/>
      <c r="F42" s="721"/>
    </row>
    <row r="43" spans="3:23" x14ac:dyDescent="0.2">
      <c r="C43" s="716">
        <v>11</v>
      </c>
      <c r="D43" s="717"/>
      <c r="E43" s="717"/>
      <c r="F43" s="718"/>
      <c r="L43" s="272"/>
      <c r="N43" s="272"/>
    </row>
    <row r="44" spans="3:23" x14ac:dyDescent="0.2">
      <c r="C44" s="343" t="s">
        <v>433</v>
      </c>
      <c r="D44" s="734">
        <f>SUM('COSTOS '!R6:R9,'COSTOS '!R11,'COSTOS '!R13:R15)</f>
        <v>268297.6377661461</v>
      </c>
      <c r="E44" s="735"/>
      <c r="F44" s="148"/>
      <c r="N44" s="352"/>
      <c r="T44" s="352"/>
    </row>
    <row r="45" spans="3:23" x14ac:dyDescent="0.2">
      <c r="C45" s="343"/>
      <c r="D45" s="716" t="s">
        <v>414</v>
      </c>
      <c r="E45" s="721"/>
      <c r="F45" s="342">
        <f>D44</f>
        <v>268297.6377661461</v>
      </c>
    </row>
    <row r="46" spans="3:23" x14ac:dyDescent="0.2">
      <c r="C46" s="716" t="s">
        <v>434</v>
      </c>
      <c r="D46" s="717"/>
      <c r="E46" s="717"/>
      <c r="F46" s="721"/>
    </row>
    <row r="47" spans="3:23" x14ac:dyDescent="0.2">
      <c r="C47" s="716">
        <v>12</v>
      </c>
      <c r="D47" s="717"/>
      <c r="E47" s="717"/>
      <c r="F47" s="718"/>
    </row>
    <row r="48" spans="3:23" x14ac:dyDescent="0.2">
      <c r="C48" s="343" t="s">
        <v>440</v>
      </c>
      <c r="D48" s="719">
        <f>SENSIBILIDAD!N12</f>
        <v>866484.61935980804</v>
      </c>
      <c r="E48" s="720"/>
      <c r="F48" s="148"/>
    </row>
    <row r="49" spans="3:6" x14ac:dyDescent="0.2">
      <c r="C49" s="343"/>
      <c r="D49" s="716" t="s">
        <v>414</v>
      </c>
      <c r="E49" s="721"/>
      <c r="F49" s="342">
        <f>D48</f>
        <v>866484.61935980804</v>
      </c>
    </row>
    <row r="50" spans="3:6" x14ac:dyDescent="0.2">
      <c r="C50" s="716" t="s">
        <v>434</v>
      </c>
      <c r="D50" s="717"/>
      <c r="E50" s="717"/>
      <c r="F50" s="721"/>
    </row>
    <row r="51" spans="3:6" x14ac:dyDescent="0.2">
      <c r="C51" s="722">
        <v>13</v>
      </c>
      <c r="D51" s="723"/>
      <c r="E51" s="723"/>
      <c r="F51" s="724"/>
    </row>
    <row r="52" spans="3:6" x14ac:dyDescent="0.2">
      <c r="C52" s="343" t="s">
        <v>113</v>
      </c>
      <c r="D52" s="719">
        <f>'LIBRO MAYOR'!B18</f>
        <v>3018951.09</v>
      </c>
      <c r="E52" s="720"/>
      <c r="F52" s="148"/>
    </row>
    <row r="53" spans="3:6" x14ac:dyDescent="0.2">
      <c r="C53" s="343"/>
      <c r="D53" s="716" t="s">
        <v>416</v>
      </c>
      <c r="E53" s="721"/>
      <c r="F53" s="342">
        <f t="shared" ref="F53" si="6">D52</f>
        <v>3018951.09</v>
      </c>
    </row>
    <row r="54" spans="3:6" x14ac:dyDescent="0.2">
      <c r="C54" s="716" t="s">
        <v>434</v>
      </c>
      <c r="D54" s="717"/>
      <c r="E54" s="717"/>
      <c r="F54" s="721"/>
    </row>
    <row r="55" spans="3:6" x14ac:dyDescent="0.2">
      <c r="C55" s="716">
        <v>14</v>
      </c>
      <c r="D55" s="717"/>
      <c r="E55" s="717"/>
      <c r="F55" s="718"/>
    </row>
    <row r="56" spans="3:6" x14ac:dyDescent="0.2">
      <c r="C56" s="343" t="s">
        <v>113</v>
      </c>
      <c r="D56" s="719">
        <f>'LIBRO MAYOR'!B19</f>
        <v>13956679.91</v>
      </c>
      <c r="E56" s="720"/>
      <c r="F56" s="148"/>
    </row>
    <row r="57" spans="3:6" x14ac:dyDescent="0.2">
      <c r="C57" s="343"/>
      <c r="D57" s="716" t="s">
        <v>479</v>
      </c>
      <c r="E57" s="721"/>
      <c r="F57" s="342">
        <f t="shared" ref="F57" si="7">D56</f>
        <v>13956679.91</v>
      </c>
    </row>
    <row r="58" spans="3:6" x14ac:dyDescent="0.2">
      <c r="C58" s="716" t="s">
        <v>434</v>
      </c>
      <c r="D58" s="717"/>
      <c r="E58" s="717"/>
      <c r="F58" s="721"/>
    </row>
    <row r="59" spans="3:6" x14ac:dyDescent="0.2">
      <c r="C59" s="716">
        <v>15</v>
      </c>
      <c r="D59" s="717"/>
      <c r="E59" s="717"/>
      <c r="F59" s="718"/>
    </row>
    <row r="60" spans="3:6" x14ac:dyDescent="0.2">
      <c r="C60" s="343" t="s">
        <v>479</v>
      </c>
      <c r="D60" s="719">
        <f>'LIBRO MAYOR'!B35</f>
        <v>3588572.55</v>
      </c>
      <c r="E60" s="720"/>
      <c r="F60" s="148"/>
    </row>
    <row r="61" spans="3:6" x14ac:dyDescent="0.2">
      <c r="C61" s="343"/>
      <c r="D61" s="716" t="s">
        <v>417</v>
      </c>
      <c r="E61" s="721"/>
      <c r="F61" s="342">
        <f t="shared" ref="F61" si="8">D60</f>
        <v>3588572.55</v>
      </c>
    </row>
    <row r="62" spans="3:6" x14ac:dyDescent="0.2">
      <c r="C62" s="716" t="s">
        <v>434</v>
      </c>
      <c r="D62" s="717"/>
      <c r="E62" s="717"/>
      <c r="F62" s="721"/>
    </row>
    <row r="63" spans="3:6" x14ac:dyDescent="0.2">
      <c r="C63" s="716">
        <v>16</v>
      </c>
      <c r="D63" s="717"/>
      <c r="E63" s="717"/>
      <c r="F63" s="718"/>
    </row>
    <row r="64" spans="3:6" x14ac:dyDescent="0.2">
      <c r="C64" s="343" t="s">
        <v>480</v>
      </c>
      <c r="D64" s="719">
        <f>'LIBRO MAYOR'!B36</f>
        <v>389851.85</v>
      </c>
      <c r="E64" s="720"/>
      <c r="F64" s="148"/>
    </row>
    <row r="65" spans="3:6" x14ac:dyDescent="0.2">
      <c r="C65" s="343"/>
      <c r="D65" s="716" t="s">
        <v>481</v>
      </c>
      <c r="E65" s="721"/>
      <c r="F65" s="342">
        <f t="shared" ref="F65" si="9">D64</f>
        <v>389851.85</v>
      </c>
    </row>
    <row r="66" spans="3:6" x14ac:dyDescent="0.2">
      <c r="C66" s="716" t="s">
        <v>434</v>
      </c>
      <c r="D66" s="717"/>
      <c r="E66" s="717"/>
      <c r="F66" s="721"/>
    </row>
    <row r="67" spans="3:6" x14ac:dyDescent="0.2">
      <c r="C67" s="716">
        <v>17</v>
      </c>
      <c r="D67" s="717"/>
      <c r="E67" s="717"/>
      <c r="F67" s="718"/>
    </row>
    <row r="68" spans="3:6" x14ac:dyDescent="0.2">
      <c r="C68" s="343" t="s">
        <v>479</v>
      </c>
      <c r="D68" s="719">
        <f>'LIBRO MAYOR'!B37</f>
        <v>3594300.3</v>
      </c>
      <c r="E68" s="720"/>
      <c r="F68" s="148"/>
    </row>
    <row r="69" spans="3:6" x14ac:dyDescent="0.2">
      <c r="C69" s="343"/>
      <c r="D69" s="716" t="s">
        <v>270</v>
      </c>
      <c r="E69" s="721"/>
      <c r="F69" s="342">
        <f t="shared" ref="F69" si="10">D68</f>
        <v>3594300.3</v>
      </c>
    </row>
    <row r="70" spans="3:6" x14ac:dyDescent="0.2">
      <c r="C70" s="716" t="s">
        <v>434</v>
      </c>
      <c r="D70" s="717"/>
      <c r="E70" s="717"/>
      <c r="F70" s="721"/>
    </row>
    <row r="71" spans="3:6" x14ac:dyDescent="0.2">
      <c r="C71" s="716">
        <v>18</v>
      </c>
      <c r="D71" s="717"/>
      <c r="E71" s="717"/>
      <c r="F71" s="718"/>
    </row>
    <row r="72" spans="3:6" x14ac:dyDescent="0.2">
      <c r="C72" s="343" t="s">
        <v>479</v>
      </c>
      <c r="D72" s="719">
        <f>'LIBRO MAYOR'!B39</f>
        <v>6383955.2100000009</v>
      </c>
      <c r="E72" s="720"/>
      <c r="F72" s="148"/>
    </row>
    <row r="73" spans="3:6" x14ac:dyDescent="0.2">
      <c r="C73" s="343"/>
      <c r="D73" s="716" t="s">
        <v>482</v>
      </c>
      <c r="E73" s="721"/>
      <c r="F73" s="342">
        <f t="shared" ref="F73" si="11">D72</f>
        <v>6383955.2100000009</v>
      </c>
    </row>
    <row r="74" spans="3:6" x14ac:dyDescent="0.2">
      <c r="C74" s="716" t="s">
        <v>434</v>
      </c>
      <c r="D74" s="717"/>
      <c r="E74" s="717"/>
      <c r="F74" s="721"/>
    </row>
    <row r="75" spans="3:6" x14ac:dyDescent="0.2">
      <c r="C75" s="667"/>
      <c r="D75" s="667"/>
      <c r="E75" s="667"/>
      <c r="F75" s="667"/>
    </row>
    <row r="76" spans="3:6" x14ac:dyDescent="0.2">
      <c r="D76" s="715"/>
      <c r="E76" s="715"/>
    </row>
    <row r="77" spans="3:6" x14ac:dyDescent="0.2">
      <c r="D77" s="667"/>
      <c r="E77" s="667"/>
      <c r="F77" s="117"/>
    </row>
    <row r="78" spans="3:6" x14ac:dyDescent="0.2">
      <c r="C78" s="667"/>
      <c r="D78" s="667"/>
      <c r="E78" s="667"/>
      <c r="F78" s="667"/>
    </row>
    <row r="79" spans="3:6" x14ac:dyDescent="0.2">
      <c r="C79" s="667"/>
      <c r="D79" s="667"/>
      <c r="E79" s="667"/>
      <c r="F79" s="667"/>
    </row>
    <row r="80" spans="3:6" x14ac:dyDescent="0.2">
      <c r="D80" s="715"/>
      <c r="E80" s="715"/>
    </row>
    <row r="81" spans="3:6" x14ac:dyDescent="0.2">
      <c r="D81" s="667"/>
      <c r="E81" s="667"/>
      <c r="F81" s="117"/>
    </row>
    <row r="82" spans="3:6" x14ac:dyDescent="0.2">
      <c r="C82" s="667"/>
      <c r="D82" s="667"/>
      <c r="E82" s="667"/>
      <c r="F82" s="667"/>
    </row>
    <row r="83" spans="3:6" x14ac:dyDescent="0.2">
      <c r="C83" s="667"/>
      <c r="D83" s="667"/>
      <c r="E83" s="667"/>
      <c r="F83" s="667"/>
    </row>
    <row r="84" spans="3:6" x14ac:dyDescent="0.2">
      <c r="D84" s="715"/>
      <c r="E84" s="715"/>
    </row>
    <row r="85" spans="3:6" x14ac:dyDescent="0.2">
      <c r="D85" s="667"/>
      <c r="E85" s="667"/>
      <c r="F85" s="117"/>
    </row>
    <row r="86" spans="3:6" x14ac:dyDescent="0.2">
      <c r="C86" s="667"/>
      <c r="D86" s="667"/>
      <c r="E86" s="667"/>
      <c r="F86" s="667"/>
    </row>
    <row r="87" spans="3:6" x14ac:dyDescent="0.2">
      <c r="C87" s="667"/>
      <c r="D87" s="667"/>
      <c r="E87" s="667"/>
      <c r="F87" s="667"/>
    </row>
    <row r="88" spans="3:6" x14ac:dyDescent="0.2">
      <c r="D88" s="715"/>
      <c r="E88" s="715"/>
    </row>
    <row r="89" spans="3:6" x14ac:dyDescent="0.2">
      <c r="D89" s="667"/>
      <c r="E89" s="667"/>
      <c r="F89" s="117"/>
    </row>
    <row r="90" spans="3:6" x14ac:dyDescent="0.2">
      <c r="C90" s="667"/>
      <c r="D90" s="667"/>
      <c r="E90" s="667"/>
      <c r="F90" s="667"/>
    </row>
    <row r="91" spans="3:6" x14ac:dyDescent="0.2">
      <c r="C91" s="667"/>
      <c r="D91" s="667"/>
      <c r="E91" s="667"/>
      <c r="F91" s="667"/>
    </row>
    <row r="92" spans="3:6" x14ac:dyDescent="0.2">
      <c r="D92" s="715"/>
      <c r="E92" s="715"/>
    </row>
    <row r="93" spans="3:6" x14ac:dyDescent="0.2">
      <c r="D93" s="667"/>
      <c r="E93" s="667"/>
      <c r="F93" s="117"/>
    </row>
    <row r="94" spans="3:6" x14ac:dyDescent="0.2">
      <c r="C94" s="667"/>
      <c r="D94" s="667"/>
      <c r="E94" s="667"/>
      <c r="F94" s="667"/>
    </row>
    <row r="95" spans="3:6" x14ac:dyDescent="0.2">
      <c r="C95" s="667"/>
      <c r="D95" s="667"/>
      <c r="E95" s="667"/>
      <c r="F95" s="667"/>
    </row>
    <row r="96" spans="3:6" x14ac:dyDescent="0.2">
      <c r="D96" s="715"/>
      <c r="E96" s="715"/>
    </row>
    <row r="97" spans="3:6" x14ac:dyDescent="0.2">
      <c r="D97" s="667"/>
      <c r="E97" s="667"/>
      <c r="F97" s="117"/>
    </row>
    <row r="98" spans="3:6" x14ac:dyDescent="0.2">
      <c r="C98" s="667"/>
      <c r="D98" s="667"/>
      <c r="E98" s="667"/>
      <c r="F98" s="667"/>
    </row>
    <row r="99" spans="3:6" x14ac:dyDescent="0.2">
      <c r="C99" s="667"/>
      <c r="D99" s="667"/>
      <c r="E99" s="667"/>
      <c r="F99" s="667"/>
    </row>
    <row r="100" spans="3:6" x14ac:dyDescent="0.2">
      <c r="D100" s="715"/>
      <c r="E100" s="715"/>
    </row>
    <row r="101" spans="3:6" x14ac:dyDescent="0.2">
      <c r="D101" s="667"/>
      <c r="E101" s="667"/>
      <c r="F101" s="117"/>
    </row>
    <row r="102" spans="3:6" x14ac:dyDescent="0.2">
      <c r="C102" s="667"/>
      <c r="D102" s="667"/>
      <c r="E102" s="667"/>
      <c r="F102" s="667"/>
    </row>
    <row r="103" spans="3:6" x14ac:dyDescent="0.2">
      <c r="C103" s="667"/>
      <c r="D103" s="667"/>
      <c r="E103" s="667"/>
      <c r="F103" s="667"/>
    </row>
    <row r="104" spans="3:6" x14ac:dyDescent="0.2">
      <c r="D104" s="715"/>
      <c r="E104" s="715"/>
    </row>
    <row r="105" spans="3:6" x14ac:dyDescent="0.2">
      <c r="D105" s="667"/>
      <c r="E105" s="667"/>
      <c r="F105" s="117"/>
    </row>
    <row r="106" spans="3:6" x14ac:dyDescent="0.2">
      <c r="C106" s="667"/>
      <c r="D106" s="667"/>
      <c r="E106" s="667"/>
      <c r="F106" s="667"/>
    </row>
    <row r="107" spans="3:6" x14ac:dyDescent="0.2">
      <c r="C107" s="667"/>
      <c r="D107" s="667"/>
      <c r="E107" s="667"/>
      <c r="F107" s="667"/>
    </row>
    <row r="108" spans="3:6" x14ac:dyDescent="0.2">
      <c r="D108" s="715"/>
      <c r="E108" s="715"/>
    </row>
    <row r="109" spans="3:6" x14ac:dyDescent="0.2">
      <c r="D109" s="667"/>
      <c r="E109" s="667"/>
      <c r="F109" s="117"/>
    </row>
    <row r="110" spans="3:6" x14ac:dyDescent="0.2">
      <c r="C110" s="667"/>
      <c r="D110" s="667"/>
      <c r="E110" s="667"/>
      <c r="F110" s="667"/>
    </row>
    <row r="111" spans="3:6" x14ac:dyDescent="0.2">
      <c r="C111" s="667"/>
      <c r="D111" s="667"/>
      <c r="E111" s="667"/>
      <c r="F111" s="667"/>
    </row>
    <row r="112" spans="3:6" x14ac:dyDescent="0.2">
      <c r="D112" s="715"/>
      <c r="E112" s="715"/>
    </row>
    <row r="113" spans="3:6" x14ac:dyDescent="0.2">
      <c r="D113" s="667"/>
      <c r="E113" s="667"/>
      <c r="F113" s="117"/>
    </row>
    <row r="114" spans="3:6" x14ac:dyDescent="0.2">
      <c r="C114" s="667"/>
      <c r="D114" s="667"/>
      <c r="E114" s="667"/>
      <c r="F114" s="667"/>
    </row>
    <row r="115" spans="3:6" x14ac:dyDescent="0.2">
      <c r="C115" s="667"/>
      <c r="D115" s="667"/>
      <c r="E115" s="667"/>
      <c r="F115" s="667"/>
    </row>
    <row r="116" spans="3:6" x14ac:dyDescent="0.2">
      <c r="D116" s="715"/>
      <c r="E116" s="715"/>
    </row>
    <row r="117" spans="3:6" x14ac:dyDescent="0.2">
      <c r="D117" s="667"/>
      <c r="E117" s="667"/>
      <c r="F117" s="117"/>
    </row>
    <row r="118" spans="3:6" x14ac:dyDescent="0.2">
      <c r="C118" s="667"/>
      <c r="D118" s="667"/>
      <c r="E118" s="667"/>
      <c r="F118" s="667"/>
    </row>
    <row r="119" spans="3:6" x14ac:dyDescent="0.2">
      <c r="C119" s="667"/>
      <c r="D119" s="667"/>
      <c r="E119" s="667"/>
      <c r="F119" s="667"/>
    </row>
    <row r="120" spans="3:6" x14ac:dyDescent="0.2">
      <c r="D120" s="715"/>
      <c r="E120" s="715"/>
    </row>
    <row r="121" spans="3:6" x14ac:dyDescent="0.2">
      <c r="D121" s="667"/>
      <c r="E121" s="667"/>
      <c r="F121" s="117"/>
    </row>
    <row r="122" spans="3:6" x14ac:dyDescent="0.2">
      <c r="C122" s="667"/>
      <c r="D122" s="667"/>
      <c r="E122" s="667"/>
      <c r="F122" s="667"/>
    </row>
    <row r="123" spans="3:6" x14ac:dyDescent="0.2">
      <c r="C123" s="667"/>
      <c r="D123" s="667"/>
      <c r="E123" s="667"/>
      <c r="F123" s="667"/>
    </row>
    <row r="124" spans="3:6" x14ac:dyDescent="0.2">
      <c r="D124" s="715"/>
      <c r="E124" s="715"/>
    </row>
    <row r="125" spans="3:6" x14ac:dyDescent="0.2">
      <c r="D125" s="667"/>
      <c r="E125" s="667"/>
      <c r="F125" s="117"/>
    </row>
    <row r="126" spans="3:6" x14ac:dyDescent="0.2">
      <c r="C126" s="667"/>
      <c r="D126" s="667"/>
      <c r="E126" s="667"/>
      <c r="F126" s="667"/>
    </row>
    <row r="127" spans="3:6" x14ac:dyDescent="0.2">
      <c r="C127" s="667"/>
      <c r="D127" s="667"/>
      <c r="E127" s="667"/>
      <c r="F127" s="667"/>
    </row>
    <row r="128" spans="3:6" x14ac:dyDescent="0.2">
      <c r="D128" s="715"/>
      <c r="E128" s="715"/>
    </row>
    <row r="129" spans="3:6" x14ac:dyDescent="0.2">
      <c r="D129" s="667"/>
      <c r="E129" s="667"/>
      <c r="F129" s="117"/>
    </row>
    <row r="130" spans="3:6" x14ac:dyDescent="0.2">
      <c r="C130" s="667"/>
      <c r="D130" s="667"/>
      <c r="E130" s="667"/>
      <c r="F130" s="667"/>
    </row>
  </sheetData>
  <mergeCells count="134">
    <mergeCell ref="C7:F7"/>
    <mergeCell ref="D8:E8"/>
    <mergeCell ref="C22:F22"/>
    <mergeCell ref="C23:F23"/>
    <mergeCell ref="D32:E32"/>
    <mergeCell ref="D33:E33"/>
    <mergeCell ref="C34:F34"/>
    <mergeCell ref="C31:F31"/>
    <mergeCell ref="D28:E28"/>
    <mergeCell ref="D29:E29"/>
    <mergeCell ref="N3:O5"/>
    <mergeCell ref="J3:K5"/>
    <mergeCell ref="D48:E48"/>
    <mergeCell ref="D49:E49"/>
    <mergeCell ref="C50:F50"/>
    <mergeCell ref="C47:F47"/>
    <mergeCell ref="C43:F43"/>
    <mergeCell ref="C46:F46"/>
    <mergeCell ref="C42:F42"/>
    <mergeCell ref="D40:E40"/>
    <mergeCell ref="D41:E41"/>
    <mergeCell ref="H3:I5"/>
    <mergeCell ref="D44:E44"/>
    <mergeCell ref="D45:E45"/>
    <mergeCell ref="C19:F19"/>
    <mergeCell ref="D9:E9"/>
    <mergeCell ref="C10:F10"/>
    <mergeCell ref="C11:F11"/>
    <mergeCell ref="D12:E12"/>
    <mergeCell ref="C3:F3"/>
    <mergeCell ref="D4:E4"/>
    <mergeCell ref="L3:M5"/>
    <mergeCell ref="D5:E5"/>
    <mergeCell ref="C6:F6"/>
    <mergeCell ref="C51:F51"/>
    <mergeCell ref="D52:E52"/>
    <mergeCell ref="D53:E53"/>
    <mergeCell ref="C54:F54"/>
    <mergeCell ref="C55:F55"/>
    <mergeCell ref="T3:U5"/>
    <mergeCell ref="D36:E36"/>
    <mergeCell ref="D37:E37"/>
    <mergeCell ref="C38:F38"/>
    <mergeCell ref="C39:F39"/>
    <mergeCell ref="C18:F18"/>
    <mergeCell ref="D24:E24"/>
    <mergeCell ref="D25:E25"/>
    <mergeCell ref="C26:F26"/>
    <mergeCell ref="C27:F27"/>
    <mergeCell ref="D13:E13"/>
    <mergeCell ref="C14:F14"/>
    <mergeCell ref="C15:F15"/>
    <mergeCell ref="D16:E16"/>
    <mergeCell ref="D17:E17"/>
    <mergeCell ref="D20:E20"/>
    <mergeCell ref="D21:E21"/>
    <mergeCell ref="C35:F35"/>
    <mergeCell ref="C30:F30"/>
    <mergeCell ref="D61:E61"/>
    <mergeCell ref="C62:F62"/>
    <mergeCell ref="C63:F63"/>
    <mergeCell ref="D64:E64"/>
    <mergeCell ref="D65:E65"/>
    <mergeCell ref="D56:E56"/>
    <mergeCell ref="D57:E57"/>
    <mergeCell ref="C58:F58"/>
    <mergeCell ref="C59:F59"/>
    <mergeCell ref="D60:E60"/>
    <mergeCell ref="C71:F71"/>
    <mergeCell ref="D72:E72"/>
    <mergeCell ref="D73:E73"/>
    <mergeCell ref="C74:F74"/>
    <mergeCell ref="C75:F75"/>
    <mergeCell ref="C66:F66"/>
    <mergeCell ref="C67:F67"/>
    <mergeCell ref="D68:E68"/>
    <mergeCell ref="D69:E69"/>
    <mergeCell ref="C70:F70"/>
    <mergeCell ref="D81:E81"/>
    <mergeCell ref="C82:F82"/>
    <mergeCell ref="C83:F83"/>
    <mergeCell ref="D84:E84"/>
    <mergeCell ref="D85:E85"/>
    <mergeCell ref="D76:E76"/>
    <mergeCell ref="D77:E77"/>
    <mergeCell ref="C78:F78"/>
    <mergeCell ref="C79:F79"/>
    <mergeCell ref="D80:E80"/>
    <mergeCell ref="C91:F91"/>
    <mergeCell ref="D92:E92"/>
    <mergeCell ref="D93:E93"/>
    <mergeCell ref="C94:F94"/>
    <mergeCell ref="C95:F95"/>
    <mergeCell ref="C86:F86"/>
    <mergeCell ref="C87:F87"/>
    <mergeCell ref="D88:E88"/>
    <mergeCell ref="D89:E89"/>
    <mergeCell ref="C90:F90"/>
    <mergeCell ref="D109:E109"/>
    <mergeCell ref="C110:F110"/>
    <mergeCell ref="D101:E101"/>
    <mergeCell ref="C102:F102"/>
    <mergeCell ref="C103:F103"/>
    <mergeCell ref="D104:E104"/>
    <mergeCell ref="D105:E105"/>
    <mergeCell ref="D96:E96"/>
    <mergeCell ref="D97:E97"/>
    <mergeCell ref="C98:F98"/>
    <mergeCell ref="C99:F99"/>
    <mergeCell ref="D100:E100"/>
    <mergeCell ref="Q3:R5"/>
    <mergeCell ref="C126:F126"/>
    <mergeCell ref="C127:F127"/>
    <mergeCell ref="D128:E128"/>
    <mergeCell ref="D129:E129"/>
    <mergeCell ref="C130:F130"/>
    <mergeCell ref="D121:E121"/>
    <mergeCell ref="C122:F122"/>
    <mergeCell ref="C123:F123"/>
    <mergeCell ref="D124:E124"/>
    <mergeCell ref="D125:E125"/>
    <mergeCell ref="D116:E116"/>
    <mergeCell ref="D117:E117"/>
    <mergeCell ref="C118:F118"/>
    <mergeCell ref="C119:F119"/>
    <mergeCell ref="D120:E120"/>
    <mergeCell ref="C111:F111"/>
    <mergeCell ref="D112:E112"/>
    <mergeCell ref="D113:E113"/>
    <mergeCell ref="C114:F114"/>
    <mergeCell ref="C115:F115"/>
    <mergeCell ref="C106:F106"/>
    <mergeCell ref="C107:F107"/>
    <mergeCell ref="D108:E108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8638-C31C-4283-AFA1-494401C7A4DF}">
  <dimension ref="A2:P40"/>
  <sheetViews>
    <sheetView topLeftCell="A16" workbookViewId="0">
      <selection activeCell="C4" sqref="C4"/>
    </sheetView>
  </sheetViews>
  <sheetFormatPr baseColWidth="10" defaultRowHeight="15" x14ac:dyDescent="0.25"/>
  <cols>
    <col min="1" max="1" width="3.42578125" style="362" customWidth="1"/>
    <col min="2" max="3" width="15.140625" style="362" bestFit="1" customWidth="1"/>
    <col min="4" max="5" width="4" style="362" bestFit="1" customWidth="1"/>
    <col min="6" max="7" width="14.140625" style="362" bestFit="1" customWidth="1"/>
    <col min="8" max="8" width="4.28515625" style="362" bestFit="1" customWidth="1"/>
    <col min="9" max="9" width="5.42578125" style="362" bestFit="1" customWidth="1"/>
    <col min="10" max="10" width="14.140625" style="362" bestFit="1" customWidth="1"/>
    <col min="11" max="11" width="13.85546875" style="362" bestFit="1" customWidth="1"/>
    <col min="12" max="12" width="5.42578125" style="362" bestFit="1" customWidth="1"/>
    <col min="13" max="13" width="4.28515625" style="362" bestFit="1" customWidth="1"/>
    <col min="14" max="14" width="15.140625" style="362" bestFit="1" customWidth="1"/>
    <col min="15" max="15" width="13.85546875" style="362" bestFit="1" customWidth="1"/>
    <col min="16" max="16" width="3.140625" style="362" customWidth="1"/>
    <col min="17" max="16384" width="11.42578125" style="362"/>
  </cols>
  <sheetData>
    <row r="2" spans="1:16" x14ac:dyDescent="0.25">
      <c r="B2" s="740" t="s">
        <v>414</v>
      </c>
      <c r="C2" s="740"/>
      <c r="F2" s="741" t="s">
        <v>415</v>
      </c>
      <c r="G2" s="741"/>
      <c r="H2" s="364"/>
      <c r="I2" s="364"/>
      <c r="J2" s="741" t="s">
        <v>421</v>
      </c>
      <c r="K2" s="741"/>
      <c r="L2" s="364"/>
      <c r="M2" s="364"/>
      <c r="N2" s="741" t="s">
        <v>100</v>
      </c>
      <c r="O2" s="741"/>
    </row>
    <row r="3" spans="1:16" ht="15.75" x14ac:dyDescent="0.25">
      <c r="A3" s="367" t="s">
        <v>464</v>
      </c>
      <c r="B3" s="365">
        <v>1127676.71</v>
      </c>
      <c r="C3" s="364">
        <f>BALANZA!F9</f>
        <v>604576.32000000007</v>
      </c>
      <c r="D3" s="367" t="s">
        <v>463</v>
      </c>
      <c r="E3" s="370" t="s">
        <v>458</v>
      </c>
      <c r="F3" s="369">
        <v>1439828.22</v>
      </c>
      <c r="G3" s="373">
        <f>B3</f>
        <v>1127676.71</v>
      </c>
      <c r="H3" s="370" t="s">
        <v>462</v>
      </c>
      <c r="I3" s="370" t="s">
        <v>461</v>
      </c>
      <c r="J3" s="369">
        <v>186644.84</v>
      </c>
      <c r="K3" s="368"/>
      <c r="L3" s="366"/>
      <c r="M3" s="370" t="s">
        <v>460</v>
      </c>
      <c r="N3" s="369">
        <v>331865.55</v>
      </c>
      <c r="O3" s="368"/>
      <c r="P3" s="363"/>
    </row>
    <row r="4" spans="1:16" ht="15.75" x14ac:dyDescent="0.25">
      <c r="A4" s="367" t="s">
        <v>449</v>
      </c>
      <c r="B4" s="365">
        <v>15123330</v>
      </c>
      <c r="C4" s="364">
        <f>J3</f>
        <v>186644.84</v>
      </c>
      <c r="D4" s="367" t="s">
        <v>459</v>
      </c>
      <c r="E4" s="367"/>
      <c r="F4" s="376">
        <f>F3</f>
        <v>1439828.22</v>
      </c>
      <c r="G4" s="377">
        <f>G3</f>
        <v>1127676.71</v>
      </c>
      <c r="I4" s="370"/>
      <c r="J4" s="374">
        <f ca="1">SUM(J3:J4)</f>
        <v>186644.84</v>
      </c>
      <c r="K4" s="372"/>
      <c r="L4" s="366"/>
      <c r="M4" s="366"/>
      <c r="N4" s="365"/>
      <c r="O4" s="364"/>
      <c r="P4" s="363"/>
    </row>
    <row r="5" spans="1:16" ht="15.75" x14ac:dyDescent="0.25">
      <c r="A5" s="367"/>
      <c r="B5" s="365"/>
      <c r="C5" s="364">
        <f>N3</f>
        <v>331865.55</v>
      </c>
      <c r="D5" s="367" t="s">
        <v>457</v>
      </c>
      <c r="E5" s="367"/>
      <c r="F5" s="365"/>
      <c r="G5" s="372"/>
      <c r="H5" s="366"/>
      <c r="I5" s="366"/>
      <c r="J5" s="375"/>
      <c r="K5" s="372"/>
      <c r="L5" s="366"/>
      <c r="M5" s="366"/>
      <c r="N5" s="365"/>
      <c r="O5" s="364"/>
      <c r="P5" s="363"/>
    </row>
    <row r="6" spans="1:16" ht="15.75" x14ac:dyDescent="0.25">
      <c r="A6" s="367"/>
      <c r="B6" s="365"/>
      <c r="C6" s="364">
        <f>J18</f>
        <v>2364831.09</v>
      </c>
      <c r="D6" s="367" t="s">
        <v>456</v>
      </c>
      <c r="E6" s="367"/>
      <c r="F6" s="365"/>
      <c r="G6" s="372"/>
      <c r="H6" s="366"/>
      <c r="I6" s="366"/>
      <c r="J6" s="365"/>
      <c r="K6" s="364"/>
      <c r="L6" s="366"/>
      <c r="M6" s="366"/>
      <c r="N6" s="365"/>
      <c r="O6" s="364"/>
      <c r="P6" s="363"/>
    </row>
    <row r="7" spans="1:16" ht="15.75" x14ac:dyDescent="0.25">
      <c r="A7" s="367"/>
      <c r="B7" s="365"/>
      <c r="C7" s="364">
        <f>N18</f>
        <v>2835915.55</v>
      </c>
      <c r="D7" s="367" t="s">
        <v>455</v>
      </c>
      <c r="E7" s="367"/>
      <c r="F7" s="365"/>
      <c r="G7" s="372"/>
      <c r="H7" s="366"/>
      <c r="I7" s="366"/>
      <c r="J7" s="365"/>
      <c r="K7" s="364"/>
      <c r="L7" s="366"/>
      <c r="M7" s="366"/>
      <c r="N7" s="365"/>
      <c r="O7" s="364"/>
      <c r="P7" s="363"/>
    </row>
    <row r="8" spans="1:16" ht="15.75" x14ac:dyDescent="0.25">
      <c r="A8" s="367"/>
      <c r="B8" s="365"/>
      <c r="C8" s="364">
        <f>F3</f>
        <v>1439828.22</v>
      </c>
      <c r="D8" s="367" t="s">
        <v>454</v>
      </c>
      <c r="E8" s="367"/>
      <c r="F8" s="365"/>
      <c r="G8" s="372"/>
      <c r="H8" s="366"/>
      <c r="I8" s="366"/>
      <c r="J8" s="365"/>
      <c r="K8" s="364"/>
      <c r="L8" s="366"/>
      <c r="M8" s="366"/>
      <c r="N8" s="365"/>
      <c r="O8" s="364"/>
      <c r="P8" s="363"/>
    </row>
    <row r="9" spans="1:16" ht="15.75" x14ac:dyDescent="0.25">
      <c r="A9" s="367"/>
      <c r="B9" s="365"/>
      <c r="C9" s="364">
        <f>B27</f>
        <v>380731.85</v>
      </c>
      <c r="D9" s="367" t="s">
        <v>453</v>
      </c>
      <c r="E9" s="367"/>
      <c r="F9" s="372"/>
      <c r="G9" s="364"/>
      <c r="H9" s="366"/>
      <c r="I9" s="366"/>
      <c r="J9" s="372"/>
      <c r="K9" s="364"/>
      <c r="L9" s="366"/>
      <c r="M9" s="366"/>
      <c r="N9" s="372"/>
      <c r="O9" s="364"/>
      <c r="P9" s="363"/>
    </row>
    <row r="10" spans="1:16" ht="15.75" x14ac:dyDescent="0.25">
      <c r="A10" s="367"/>
      <c r="B10" s="365"/>
      <c r="C10" s="364">
        <f>F27</f>
        <v>3594300.3</v>
      </c>
      <c r="D10" s="367" t="s">
        <v>452</v>
      </c>
      <c r="E10" s="367"/>
      <c r="F10" s="372"/>
      <c r="G10" s="364"/>
      <c r="H10" s="366"/>
      <c r="I10" s="366"/>
      <c r="J10" s="372"/>
      <c r="K10" s="364"/>
      <c r="L10" s="366"/>
      <c r="M10" s="366"/>
      <c r="N10" s="372"/>
      <c r="O10" s="364"/>
      <c r="P10" s="363"/>
    </row>
    <row r="11" spans="1:16" ht="15.75" x14ac:dyDescent="0.25">
      <c r="A11" s="367"/>
      <c r="B11" s="365"/>
      <c r="C11" s="364">
        <f>J27</f>
        <v>268297.64</v>
      </c>
      <c r="D11" s="367" t="s">
        <v>451</v>
      </c>
      <c r="E11" s="367"/>
      <c r="F11" s="364"/>
      <c r="G11" s="364"/>
      <c r="H11" s="366"/>
      <c r="I11" s="366"/>
      <c r="J11" s="364"/>
      <c r="K11" s="364"/>
      <c r="L11" s="366"/>
      <c r="M11" s="366"/>
      <c r="N11" s="364"/>
      <c r="O11" s="364"/>
      <c r="P11" s="363"/>
    </row>
    <row r="12" spans="1:16" ht="15.75" x14ac:dyDescent="0.25">
      <c r="A12" s="367"/>
      <c r="B12" s="372"/>
      <c r="C12" s="465">
        <f>N27</f>
        <v>866484.62</v>
      </c>
      <c r="D12" s="367" t="s">
        <v>450</v>
      </c>
      <c r="E12" s="367"/>
      <c r="F12" s="364"/>
      <c r="G12" s="364"/>
      <c r="H12" s="366"/>
      <c r="I12" s="366"/>
      <c r="J12" s="364"/>
      <c r="K12" s="364"/>
      <c r="L12" s="366"/>
      <c r="M12" s="366"/>
      <c r="N12" s="364"/>
      <c r="O12" s="364"/>
      <c r="P12" s="363"/>
    </row>
    <row r="13" spans="1:16" ht="15.75" x14ac:dyDescent="0.25">
      <c r="A13" s="367"/>
      <c r="B13" s="371"/>
      <c r="C13" s="466"/>
      <c r="E13" s="367"/>
      <c r="F13" s="364"/>
      <c r="G13" s="364"/>
      <c r="H13" s="366"/>
      <c r="I13" s="366"/>
      <c r="J13" s="364"/>
      <c r="K13" s="364"/>
      <c r="L13" s="366"/>
      <c r="M13" s="366"/>
      <c r="N13" s="364"/>
      <c r="O13" s="364"/>
      <c r="P13" s="363"/>
    </row>
    <row r="14" spans="1:16" ht="15.75" x14ac:dyDescent="0.25">
      <c r="A14" s="367"/>
      <c r="B14" s="364">
        <f>SUM(B3:B13)</f>
        <v>16251006.710000001</v>
      </c>
      <c r="C14" s="364">
        <f>SUM(C3:C12)</f>
        <v>12873475.979999999</v>
      </c>
      <c r="D14" s="367"/>
      <c r="E14" s="367"/>
      <c r="F14" s="364"/>
      <c r="G14" s="364"/>
      <c r="H14" s="366"/>
      <c r="I14" s="366"/>
      <c r="J14" s="364"/>
      <c r="K14" s="364"/>
      <c r="L14" s="366"/>
      <c r="M14" s="366"/>
      <c r="N14" s="364"/>
      <c r="O14" s="364"/>
      <c r="P14" s="363"/>
    </row>
    <row r="15" spans="1:16" ht="15.75" x14ac:dyDescent="0.25">
      <c r="A15" s="367"/>
      <c r="B15" s="364"/>
      <c r="C15" s="364"/>
      <c r="D15" s="367"/>
      <c r="E15" s="367"/>
      <c r="F15" s="364"/>
      <c r="G15" s="364"/>
      <c r="H15" s="366"/>
      <c r="I15" s="366"/>
      <c r="J15" s="364"/>
      <c r="K15" s="364"/>
      <c r="L15" s="366"/>
      <c r="M15" s="366"/>
      <c r="N15" s="364"/>
      <c r="O15" s="364"/>
      <c r="P15" s="363"/>
    </row>
    <row r="16" spans="1:16" ht="15.75" x14ac:dyDescent="0.25">
      <c r="A16" s="367"/>
      <c r="B16" s="364"/>
      <c r="C16" s="364"/>
      <c r="D16" s="367"/>
      <c r="E16" s="367"/>
      <c r="F16" s="364"/>
      <c r="G16" s="364"/>
      <c r="H16" s="366"/>
      <c r="I16" s="366"/>
      <c r="J16" s="364"/>
      <c r="K16" s="364"/>
      <c r="L16" s="366"/>
      <c r="M16" s="366"/>
      <c r="N16" s="364"/>
      <c r="O16" s="364"/>
      <c r="P16" s="363"/>
    </row>
    <row r="17" spans="1:16" ht="15.75" x14ac:dyDescent="0.25">
      <c r="A17" s="367"/>
      <c r="B17" s="741" t="s">
        <v>113</v>
      </c>
      <c r="C17" s="741"/>
      <c r="D17" s="367"/>
      <c r="E17" s="367"/>
      <c r="F17" s="741" t="s">
        <v>301</v>
      </c>
      <c r="G17" s="741"/>
      <c r="H17" s="366"/>
      <c r="I17" s="366"/>
      <c r="J17" s="741" t="s">
        <v>416</v>
      </c>
      <c r="K17" s="741"/>
      <c r="L17" s="366"/>
      <c r="M17" s="366"/>
      <c r="N17" s="741" t="s">
        <v>417</v>
      </c>
      <c r="O17" s="741"/>
      <c r="P17" s="363"/>
    </row>
    <row r="18" spans="1:16" ht="15.75" x14ac:dyDescent="0.25">
      <c r="A18" s="367" t="s">
        <v>467</v>
      </c>
      <c r="B18" s="378">
        <f>K18</f>
        <v>3018951.09</v>
      </c>
      <c r="C18" s="379">
        <f>B4</f>
        <v>15123330</v>
      </c>
      <c r="D18" s="367" t="s">
        <v>449</v>
      </c>
      <c r="E18" s="367" t="s">
        <v>448</v>
      </c>
      <c r="F18" s="369">
        <f>C3</f>
        <v>604576.32000000007</v>
      </c>
      <c r="G18" s="368"/>
      <c r="H18" s="366"/>
      <c r="I18" s="370" t="s">
        <v>447</v>
      </c>
      <c r="J18" s="435">
        <v>2364831.09</v>
      </c>
      <c r="K18" s="379">
        <f>SUM(J18:J19)</f>
        <v>3018951.09</v>
      </c>
      <c r="L18" s="366" t="s">
        <v>466</v>
      </c>
      <c r="M18" s="370" t="s">
        <v>446</v>
      </c>
      <c r="N18" s="435">
        <v>2835915.55</v>
      </c>
      <c r="O18" s="379">
        <f>SUM(N18:N19)</f>
        <v>3588572.55</v>
      </c>
      <c r="P18" s="363" t="s">
        <v>470</v>
      </c>
    </row>
    <row r="19" spans="1:16" ht="15.75" x14ac:dyDescent="0.25">
      <c r="A19" s="367" t="s">
        <v>468</v>
      </c>
      <c r="B19" s="378">
        <f>C20-B18</f>
        <v>13956679.91</v>
      </c>
      <c r="C19" s="379">
        <f>BALANZA!K33</f>
        <v>1852301</v>
      </c>
      <c r="D19" s="367"/>
      <c r="E19" s="367"/>
      <c r="F19" s="365"/>
      <c r="G19" s="364"/>
      <c r="H19" s="366"/>
      <c r="I19" s="366"/>
      <c r="J19" s="365">
        <f>BALANZA!J34</f>
        <v>654120</v>
      </c>
      <c r="K19" s="364"/>
      <c r="L19" s="366"/>
      <c r="M19" s="366"/>
      <c r="N19" s="365">
        <f>BALANZA!J35</f>
        <v>752657</v>
      </c>
      <c r="O19" s="364"/>
      <c r="P19" s="363"/>
    </row>
    <row r="20" spans="1:16" ht="15.75" x14ac:dyDescent="0.25">
      <c r="A20" s="367"/>
      <c r="B20" s="380">
        <f>SUM(B18:B19)</f>
        <v>16975631</v>
      </c>
      <c r="C20" s="380">
        <f>SUM(C18:C19)</f>
        <v>16975631</v>
      </c>
      <c r="D20" s="367"/>
      <c r="E20" s="367"/>
      <c r="F20" s="365"/>
      <c r="G20" s="364"/>
      <c r="H20" s="366"/>
      <c r="I20" s="366"/>
      <c r="J20" s="380">
        <f>SUM(J18:J19)</f>
        <v>3018951.09</v>
      </c>
      <c r="K20" s="364"/>
      <c r="L20" s="366"/>
      <c r="M20" s="366"/>
      <c r="N20" s="380">
        <f>SUM(N18:N19)</f>
        <v>3588572.55</v>
      </c>
      <c r="O20" s="364"/>
      <c r="P20" s="363"/>
    </row>
    <row r="21" spans="1:16" ht="15.75" x14ac:dyDescent="0.25">
      <c r="A21" s="367"/>
      <c r="B21" s="365"/>
      <c r="C21" s="364"/>
      <c r="D21" s="367"/>
      <c r="E21" s="367"/>
      <c r="F21" s="365"/>
      <c r="G21" s="364"/>
      <c r="H21" s="366"/>
      <c r="I21" s="366"/>
      <c r="J21" s="365"/>
      <c r="K21" s="364"/>
      <c r="L21" s="366"/>
      <c r="M21" s="366"/>
      <c r="N21" s="365"/>
      <c r="O21" s="364"/>
      <c r="P21" s="363"/>
    </row>
    <row r="22" spans="1:16" ht="15.75" x14ac:dyDescent="0.25">
      <c r="A22" s="367"/>
      <c r="B22" s="365"/>
      <c r="C22" s="364"/>
      <c r="D22" s="367"/>
      <c r="E22" s="367"/>
      <c r="F22" s="365"/>
      <c r="G22" s="364"/>
      <c r="H22" s="366"/>
      <c r="I22" s="366"/>
      <c r="J22" s="365"/>
      <c r="K22" s="364"/>
      <c r="L22" s="366"/>
      <c r="M22" s="366"/>
      <c r="N22" s="365"/>
      <c r="O22" s="364"/>
      <c r="P22" s="363"/>
    </row>
    <row r="23" spans="1:16" ht="15.75" x14ac:dyDescent="0.25">
      <c r="A23" s="367"/>
      <c r="B23" s="365"/>
      <c r="C23" s="364"/>
      <c r="D23" s="367"/>
      <c r="E23" s="367"/>
      <c r="F23" s="365"/>
      <c r="G23" s="364"/>
      <c r="H23" s="366"/>
      <c r="I23" s="366"/>
      <c r="J23" s="365"/>
      <c r="K23" s="364"/>
      <c r="L23" s="366"/>
      <c r="M23" s="366"/>
      <c r="N23" s="365"/>
      <c r="O23" s="364"/>
      <c r="P23" s="363"/>
    </row>
    <row r="24" spans="1:16" ht="15.75" x14ac:dyDescent="0.25">
      <c r="A24" s="367"/>
      <c r="B24" s="364"/>
      <c r="C24" s="364"/>
      <c r="D24" s="367"/>
      <c r="E24" s="367"/>
      <c r="F24" s="364"/>
      <c r="G24" s="364"/>
      <c r="H24" s="366"/>
      <c r="I24" s="366"/>
      <c r="J24" s="364"/>
      <c r="K24" s="364"/>
      <c r="L24" s="366"/>
      <c r="M24" s="366"/>
      <c r="N24" s="364"/>
      <c r="O24" s="364"/>
      <c r="P24" s="363"/>
    </row>
    <row r="25" spans="1:16" ht="15.75" x14ac:dyDescent="0.25">
      <c r="A25" s="367"/>
      <c r="B25" s="364"/>
      <c r="C25" s="364"/>
      <c r="D25" s="367"/>
      <c r="E25" s="367"/>
      <c r="F25" s="364"/>
      <c r="G25" s="364"/>
      <c r="H25" s="366"/>
      <c r="I25" s="366"/>
      <c r="J25" s="364"/>
      <c r="K25" s="364"/>
      <c r="L25" s="366"/>
      <c r="M25" s="366"/>
      <c r="N25" s="364"/>
      <c r="O25" s="364"/>
      <c r="P25" s="363"/>
    </row>
    <row r="26" spans="1:16" ht="15.75" x14ac:dyDescent="0.25">
      <c r="A26" s="367"/>
      <c r="B26" s="741" t="s">
        <v>445</v>
      </c>
      <c r="C26" s="741"/>
      <c r="D26" s="367"/>
      <c r="E26" s="367"/>
      <c r="F26" s="741" t="s">
        <v>270</v>
      </c>
      <c r="G26" s="741"/>
      <c r="H26" s="366"/>
      <c r="I26" s="366"/>
      <c r="J26" s="741" t="s">
        <v>433</v>
      </c>
      <c r="K26" s="741"/>
      <c r="L26" s="366"/>
      <c r="M26" s="366"/>
      <c r="N26" s="741" t="s">
        <v>440</v>
      </c>
      <c r="O26" s="741"/>
      <c r="P26" s="363"/>
    </row>
    <row r="27" spans="1:16" ht="15.75" x14ac:dyDescent="0.25">
      <c r="A27" s="367" t="s">
        <v>444</v>
      </c>
      <c r="B27" s="435">
        <v>380731.85</v>
      </c>
      <c r="C27" s="379">
        <f>SUM(B27:B28)</f>
        <v>389851.85</v>
      </c>
      <c r="D27" s="367" t="s">
        <v>472</v>
      </c>
      <c r="E27" s="367" t="s">
        <v>443</v>
      </c>
      <c r="F27" s="378">
        <v>3594300.3</v>
      </c>
      <c r="G27" s="379">
        <f>F27</f>
        <v>3594300.3</v>
      </c>
      <c r="H27" s="366" t="s">
        <v>474</v>
      </c>
      <c r="I27" s="370" t="s">
        <v>442</v>
      </c>
      <c r="J27" s="369">
        <v>268297.64</v>
      </c>
      <c r="K27" s="368"/>
      <c r="L27" s="366"/>
      <c r="M27" s="370" t="s">
        <v>441</v>
      </c>
      <c r="N27" s="369">
        <v>866484.62</v>
      </c>
      <c r="O27" s="368"/>
      <c r="P27" s="363"/>
    </row>
    <row r="28" spans="1:16" ht="15.75" x14ac:dyDescent="0.25">
      <c r="A28" s="367"/>
      <c r="B28" s="436">
        <f>BALANZA!J36</f>
        <v>9120</v>
      </c>
      <c r="C28" s="381"/>
      <c r="D28" s="367"/>
      <c r="E28" s="367"/>
      <c r="F28" s="380"/>
      <c r="G28" s="381"/>
      <c r="H28" s="366"/>
      <c r="I28" s="366"/>
      <c r="J28" s="365"/>
      <c r="K28" s="364"/>
      <c r="L28" s="366"/>
      <c r="M28" s="366"/>
      <c r="N28" s="365"/>
      <c r="O28" s="364"/>
      <c r="P28" s="363"/>
    </row>
    <row r="29" spans="1:16" ht="15.75" x14ac:dyDescent="0.25">
      <c r="A29" s="367"/>
      <c r="B29" s="380">
        <f>SUM(B27:B28)</f>
        <v>389851.85</v>
      </c>
      <c r="C29" s="364"/>
      <c r="D29" s="367"/>
      <c r="E29" s="367"/>
      <c r="F29" s="380"/>
      <c r="G29" s="381"/>
      <c r="H29" s="366"/>
      <c r="I29" s="366"/>
      <c r="J29" s="365"/>
      <c r="K29" s="364"/>
      <c r="L29" s="366"/>
      <c r="M29" s="366"/>
      <c r="N29" s="365"/>
      <c r="O29" s="364"/>
      <c r="P29" s="363"/>
    </row>
    <row r="30" spans="1:16" ht="15.75" x14ac:dyDescent="0.25">
      <c r="A30" s="367"/>
      <c r="B30" s="365"/>
      <c r="C30" s="364"/>
      <c r="D30" s="367"/>
      <c r="E30" s="367"/>
      <c r="F30" s="365"/>
      <c r="G30" s="364"/>
      <c r="H30" s="366"/>
      <c r="I30" s="366"/>
      <c r="J30" s="365"/>
      <c r="K30" s="364"/>
      <c r="L30" s="366"/>
      <c r="M30" s="366"/>
      <c r="N30" s="365"/>
      <c r="O30" s="364"/>
      <c r="P30" s="363"/>
    </row>
    <row r="31" spans="1:16" ht="15.75" x14ac:dyDescent="0.25">
      <c r="A31" s="367"/>
      <c r="B31" s="365"/>
      <c r="C31" s="364"/>
      <c r="D31" s="367"/>
      <c r="E31" s="367"/>
      <c r="F31" s="365"/>
      <c r="G31" s="364"/>
      <c r="H31" s="366"/>
      <c r="I31" s="366"/>
      <c r="J31" s="365"/>
      <c r="K31" s="364"/>
      <c r="L31" s="366"/>
      <c r="M31" s="366"/>
      <c r="N31" s="365"/>
      <c r="O31" s="364"/>
      <c r="P31" s="363"/>
    </row>
    <row r="32" spans="1:16" ht="15.75" x14ac:dyDescent="0.25">
      <c r="A32" s="367"/>
      <c r="B32" s="365"/>
      <c r="C32" s="364"/>
      <c r="D32" s="367"/>
      <c r="E32" s="367"/>
      <c r="F32" s="365"/>
      <c r="G32" s="364"/>
      <c r="H32" s="366"/>
      <c r="I32" s="366"/>
      <c r="J32" s="365"/>
      <c r="K32" s="364"/>
      <c r="L32" s="366"/>
      <c r="M32" s="366"/>
      <c r="N32" s="365"/>
      <c r="O32" s="364"/>
      <c r="P32" s="363"/>
    </row>
    <row r="34" spans="1:8" x14ac:dyDescent="0.25">
      <c r="B34" s="740" t="s">
        <v>465</v>
      </c>
      <c r="C34" s="740"/>
      <c r="F34" s="740" t="s">
        <v>477</v>
      </c>
      <c r="G34" s="740"/>
    </row>
    <row r="35" spans="1:8" x14ac:dyDescent="0.25">
      <c r="A35" s="362" t="s">
        <v>471</v>
      </c>
      <c r="B35" s="383">
        <f>O18</f>
        <v>3588572.55</v>
      </c>
      <c r="C35" s="391">
        <f>B19</f>
        <v>13956679.91</v>
      </c>
      <c r="D35" s="362" t="s">
        <v>469</v>
      </c>
      <c r="F35" s="382"/>
      <c r="G35" s="377">
        <f>B39</f>
        <v>6383955.2100000009</v>
      </c>
      <c r="H35" s="362" t="s">
        <v>478</v>
      </c>
    </row>
    <row r="36" spans="1:8" x14ac:dyDescent="0.25">
      <c r="A36" s="362" t="s">
        <v>473</v>
      </c>
      <c r="B36" s="384">
        <f>C27</f>
        <v>389851.85</v>
      </c>
      <c r="C36" s="385"/>
      <c r="F36" s="375"/>
    </row>
    <row r="37" spans="1:8" x14ac:dyDescent="0.25">
      <c r="A37" s="362" t="s">
        <v>475</v>
      </c>
      <c r="B37" s="384">
        <f>F27</f>
        <v>3594300.3</v>
      </c>
      <c r="C37" s="385"/>
      <c r="F37" s="375"/>
    </row>
    <row r="38" spans="1:8" x14ac:dyDescent="0.25">
      <c r="B38" s="384">
        <f>SUM(B35:B37)</f>
        <v>7572724.6999999993</v>
      </c>
      <c r="C38" s="385"/>
      <c r="F38" s="375"/>
    </row>
    <row r="39" spans="1:8" x14ac:dyDescent="0.25">
      <c r="A39" s="362" t="s">
        <v>476</v>
      </c>
      <c r="B39" s="390">
        <f>C35-B38</f>
        <v>6383955.2100000009</v>
      </c>
      <c r="C39" s="385"/>
      <c r="F39" s="375"/>
    </row>
    <row r="40" spans="1:8" x14ac:dyDescent="0.25">
      <c r="B40" s="384">
        <f>SUM(B38:B39)</f>
        <v>13956679.91</v>
      </c>
      <c r="C40" s="385"/>
      <c r="F40" s="375"/>
    </row>
  </sheetData>
  <mergeCells count="14">
    <mergeCell ref="B34:C34"/>
    <mergeCell ref="F34:G34"/>
    <mergeCell ref="N2:O2"/>
    <mergeCell ref="J2:K2"/>
    <mergeCell ref="F2:G2"/>
    <mergeCell ref="B2:C2"/>
    <mergeCell ref="N26:O26"/>
    <mergeCell ref="J26:K26"/>
    <mergeCell ref="F26:G26"/>
    <mergeCell ref="B26:C26"/>
    <mergeCell ref="B17:C17"/>
    <mergeCell ref="F17:G17"/>
    <mergeCell ref="J17:K17"/>
    <mergeCell ref="N17:O1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86E3-FACA-423F-BCEC-6F914887B31B}">
  <dimension ref="A1:O105"/>
  <sheetViews>
    <sheetView topLeftCell="A42" zoomScale="69" workbookViewId="0">
      <selection activeCell="B5" sqref="B5"/>
    </sheetView>
  </sheetViews>
  <sheetFormatPr baseColWidth="10" defaultColWidth="11.42578125" defaultRowHeight="12.75" x14ac:dyDescent="0.2"/>
  <cols>
    <col min="1" max="1" width="20.7109375" customWidth="1"/>
    <col min="2" max="2" width="45.140625" customWidth="1"/>
    <col min="3" max="3" width="7.140625" customWidth="1"/>
    <col min="4" max="4" width="7" customWidth="1"/>
    <col min="5" max="5" width="6.85546875" customWidth="1"/>
    <col min="6" max="6" width="6.42578125" customWidth="1"/>
    <col min="7" max="7" width="7.140625" customWidth="1"/>
    <col min="8" max="8" width="6.85546875" customWidth="1"/>
    <col min="9" max="9" width="7" customWidth="1"/>
    <col min="10" max="10" width="7.140625" customWidth="1"/>
    <col min="11" max="11" width="6.140625" customWidth="1"/>
    <col min="12" max="12" width="7" customWidth="1"/>
    <col min="13" max="13" width="6.85546875" customWidth="1"/>
    <col min="14" max="14" width="7.28515625" customWidth="1"/>
  </cols>
  <sheetData>
    <row r="1" spans="1:14" ht="18" x14ac:dyDescent="0.25">
      <c r="A1" s="1" t="s">
        <v>140</v>
      </c>
    </row>
    <row r="2" spans="1:14" ht="18" x14ac:dyDescent="0.25">
      <c r="A2" s="1"/>
    </row>
    <row r="3" spans="1:14" ht="15.75" x14ac:dyDescent="0.25">
      <c r="A3" s="2" t="s">
        <v>14</v>
      </c>
      <c r="B3" s="2" t="s">
        <v>165</v>
      </c>
      <c r="C3" s="2"/>
      <c r="D3" s="2"/>
      <c r="F3" s="2"/>
      <c r="G3" s="2"/>
      <c r="H3" s="2"/>
      <c r="I3" s="11"/>
      <c r="J3" s="11"/>
      <c r="K3" s="11"/>
      <c r="L3" s="11"/>
      <c r="M3" s="11"/>
      <c r="N3" s="11"/>
    </row>
    <row r="4" spans="1:14" ht="15.75" x14ac:dyDescent="0.25">
      <c r="A4" s="2" t="s">
        <v>15</v>
      </c>
      <c r="B4" s="2"/>
      <c r="C4" s="2"/>
      <c r="D4" s="2"/>
      <c r="F4" s="2"/>
      <c r="G4" s="2"/>
      <c r="H4" s="2"/>
      <c r="I4" s="11"/>
      <c r="J4" s="11"/>
      <c r="K4" s="11"/>
      <c r="L4" s="11"/>
      <c r="M4" s="11"/>
      <c r="N4" s="11"/>
    </row>
    <row r="5" spans="1:14" ht="15.75" x14ac:dyDescent="0.25">
      <c r="A5" s="2" t="s">
        <v>16</v>
      </c>
      <c r="B5" s="2" t="s">
        <v>562</v>
      </c>
      <c r="C5" s="2"/>
      <c r="D5" s="2"/>
      <c r="E5" s="3"/>
      <c r="F5" s="3"/>
      <c r="G5" s="2"/>
      <c r="H5" s="3"/>
      <c r="I5" s="11"/>
      <c r="J5" s="11"/>
      <c r="K5" s="11"/>
      <c r="L5" s="11"/>
      <c r="M5" s="11"/>
      <c r="N5" s="11"/>
    </row>
    <row r="7" spans="1:14" ht="15.75" x14ac:dyDescent="0.25">
      <c r="A7" s="744" t="s">
        <v>141</v>
      </c>
      <c r="B7" s="745"/>
      <c r="C7" s="745"/>
      <c r="D7" s="745"/>
      <c r="E7" s="745"/>
      <c r="F7" s="745"/>
      <c r="G7" s="745"/>
      <c r="H7" s="745"/>
      <c r="I7" s="745"/>
      <c r="J7" s="745"/>
      <c r="K7" s="745"/>
      <c r="L7" s="745"/>
      <c r="M7" s="745"/>
      <c r="N7" s="745"/>
    </row>
    <row r="8" spans="1:14" ht="15" x14ac:dyDescent="0.2">
      <c r="A8" s="4"/>
      <c r="B8" s="4"/>
      <c r="C8" s="746" t="s">
        <v>85</v>
      </c>
      <c r="D8" s="747"/>
      <c r="E8" s="747"/>
      <c r="F8" s="747"/>
      <c r="G8" s="747"/>
      <c r="H8" s="747"/>
      <c r="I8" s="747"/>
      <c r="J8" s="747"/>
      <c r="K8" s="747"/>
      <c r="L8" s="747"/>
      <c r="M8" s="747"/>
      <c r="N8" s="748"/>
    </row>
    <row r="9" spans="1:14" ht="15.75" x14ac:dyDescent="0.25">
      <c r="A9" s="749" t="s">
        <v>62</v>
      </c>
      <c r="B9" s="749"/>
      <c r="C9" s="511">
        <v>1</v>
      </c>
      <c r="D9" s="511">
        <v>2</v>
      </c>
      <c r="E9" s="511">
        <v>3</v>
      </c>
      <c r="F9" s="511">
        <v>4</v>
      </c>
      <c r="G9" s="511">
        <v>5</v>
      </c>
      <c r="H9" s="511">
        <v>6</v>
      </c>
      <c r="I9" s="511">
        <v>7</v>
      </c>
      <c r="J9" s="511">
        <v>8</v>
      </c>
      <c r="K9" s="511">
        <v>9</v>
      </c>
      <c r="L9" s="511">
        <v>10</v>
      </c>
      <c r="M9" s="511">
        <v>11</v>
      </c>
      <c r="N9" s="511">
        <v>12</v>
      </c>
    </row>
    <row r="10" spans="1:14" ht="15" x14ac:dyDescent="0.2">
      <c r="A10" s="751" t="s">
        <v>561</v>
      </c>
      <c r="B10" s="75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5" x14ac:dyDescent="0.2">
      <c r="A11" s="751" t="s">
        <v>560</v>
      </c>
      <c r="B11" s="750"/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" x14ac:dyDescent="0.2">
      <c r="A12" s="751" t="s">
        <v>559</v>
      </c>
      <c r="B12" s="750"/>
      <c r="C12" s="7"/>
      <c r="D12" s="7"/>
      <c r="E12" s="4"/>
      <c r="F12" s="8"/>
      <c r="G12" s="4"/>
      <c r="H12" s="4"/>
      <c r="I12" s="4"/>
      <c r="J12" s="4"/>
      <c r="K12" s="4"/>
      <c r="L12" s="4"/>
      <c r="M12" s="4"/>
      <c r="N12" s="4"/>
    </row>
    <row r="13" spans="1:14" ht="15" x14ac:dyDescent="0.2">
      <c r="A13" s="751" t="s">
        <v>558</v>
      </c>
      <c r="B13" s="750"/>
      <c r="C13" s="4"/>
      <c r="D13" s="7"/>
      <c r="E13" s="7"/>
      <c r="F13" s="7"/>
      <c r="G13" s="7"/>
      <c r="H13" s="4"/>
      <c r="I13" s="4"/>
      <c r="J13" s="4"/>
      <c r="K13" s="4"/>
      <c r="L13" s="4"/>
      <c r="M13" s="4"/>
      <c r="N13" s="4"/>
    </row>
    <row r="14" spans="1:14" ht="15" x14ac:dyDescent="0.2">
      <c r="A14" s="751" t="s">
        <v>557</v>
      </c>
      <c r="B14" s="750"/>
      <c r="C14" s="4"/>
      <c r="D14" s="7"/>
      <c r="E14" s="4"/>
      <c r="F14" s="8"/>
      <c r="G14" s="4"/>
      <c r="H14" s="4"/>
      <c r="I14" s="4"/>
      <c r="J14" s="4"/>
      <c r="K14" s="4"/>
      <c r="L14" s="4"/>
      <c r="M14" s="4"/>
      <c r="N14" s="4"/>
    </row>
    <row r="15" spans="1:14" ht="15" x14ac:dyDescent="0.2">
      <c r="A15" s="751" t="s">
        <v>556</v>
      </c>
      <c r="B15" s="750"/>
      <c r="C15" s="4"/>
      <c r="D15" s="7"/>
      <c r="E15" s="7"/>
      <c r="F15" s="8"/>
      <c r="G15" s="4"/>
      <c r="H15" s="4"/>
      <c r="I15" s="4"/>
      <c r="J15" s="4"/>
      <c r="K15" s="4"/>
      <c r="L15" s="4"/>
      <c r="M15" s="4"/>
      <c r="N15" s="4"/>
    </row>
    <row r="16" spans="1:14" ht="15" x14ac:dyDescent="0.2">
      <c r="A16" s="751" t="s">
        <v>555</v>
      </c>
      <c r="B16" s="750"/>
      <c r="C16" s="4"/>
      <c r="D16" s="755"/>
      <c r="E16" s="755"/>
      <c r="F16" s="755"/>
      <c r="G16" s="755"/>
      <c r="H16" s="7"/>
      <c r="I16" s="4"/>
      <c r="J16" s="4"/>
      <c r="K16" s="4"/>
      <c r="L16" s="4"/>
      <c r="M16" s="4"/>
      <c r="N16" s="4"/>
    </row>
    <row r="17" spans="1:14" ht="15" x14ac:dyDescent="0.2">
      <c r="A17" s="751" t="s">
        <v>554</v>
      </c>
      <c r="B17" s="750"/>
      <c r="C17" s="4"/>
      <c r="E17" s="4"/>
      <c r="F17" s="8"/>
      <c r="G17" s="4"/>
      <c r="H17" s="4"/>
      <c r="I17" s="7"/>
      <c r="J17" s="7"/>
      <c r="K17" s="7"/>
      <c r="M17" s="4"/>
      <c r="N17" s="4"/>
    </row>
    <row r="18" spans="1:14" ht="15" x14ac:dyDescent="0.2">
      <c r="A18" s="751" t="s">
        <v>553</v>
      </c>
      <c r="B18" s="750"/>
      <c r="C18" s="7"/>
      <c r="E18" s="4"/>
      <c r="F18" s="8"/>
      <c r="G18" s="4"/>
      <c r="H18" s="4"/>
      <c r="I18" s="4"/>
      <c r="J18" s="4"/>
      <c r="K18" s="4"/>
      <c r="L18" s="4"/>
      <c r="M18" s="4"/>
      <c r="N18" s="4"/>
    </row>
    <row r="19" spans="1:14" ht="15" x14ac:dyDescent="0.2">
      <c r="A19" s="751" t="s">
        <v>552</v>
      </c>
      <c r="B19" s="750"/>
      <c r="C19" s="4"/>
      <c r="D19" s="7"/>
      <c r="E19" s="4"/>
      <c r="F19" s="8"/>
      <c r="G19" s="4"/>
      <c r="H19" s="4"/>
      <c r="I19" s="4"/>
      <c r="J19" s="8"/>
      <c r="K19" s="4"/>
      <c r="L19" s="4"/>
      <c r="M19" s="4"/>
      <c r="N19" s="8"/>
    </row>
    <row r="20" spans="1:14" ht="15" x14ac:dyDescent="0.2">
      <c r="A20" s="751" t="s">
        <v>551</v>
      </c>
      <c r="B20" s="750"/>
      <c r="C20" s="4"/>
      <c r="D20" s="7"/>
      <c r="E20" s="7"/>
      <c r="F20" s="7"/>
      <c r="G20" s="7"/>
      <c r="H20" s="4"/>
      <c r="I20" s="4"/>
      <c r="J20" s="8"/>
      <c r="K20" s="4"/>
      <c r="L20" s="4"/>
      <c r="M20" s="4"/>
      <c r="N20" s="8"/>
    </row>
    <row r="21" spans="1:14" ht="15" x14ac:dyDescent="0.2">
      <c r="A21" s="751" t="s">
        <v>550</v>
      </c>
      <c r="B21" s="750"/>
      <c r="C21" s="4"/>
      <c r="D21" s="7"/>
      <c r="E21" s="7"/>
      <c r="F21" s="7"/>
      <c r="G21" s="7"/>
      <c r="H21" s="7"/>
      <c r="I21" s="7"/>
      <c r="J21" s="4"/>
      <c r="K21" s="4"/>
      <c r="L21" s="4"/>
      <c r="M21" s="4"/>
      <c r="N21" s="4"/>
    </row>
    <row r="22" spans="1:14" ht="15" x14ac:dyDescent="0.2">
      <c r="A22" s="751" t="s">
        <v>549</v>
      </c>
      <c r="B22" s="750"/>
      <c r="C22" s="4"/>
      <c r="D22" s="321"/>
      <c r="E22" s="4"/>
      <c r="F22" s="4"/>
      <c r="G22" s="4"/>
      <c r="H22" s="4"/>
      <c r="I22" s="4"/>
      <c r="J22" s="4"/>
      <c r="K22" s="4"/>
      <c r="L22" s="7"/>
      <c r="M22" s="7"/>
      <c r="N22" s="7"/>
    </row>
    <row r="23" spans="1:14" ht="15" x14ac:dyDescent="0.2">
      <c r="A23" s="751" t="s">
        <v>548</v>
      </c>
      <c r="B23" s="750"/>
      <c r="C23" s="4"/>
      <c r="D23" s="321"/>
      <c r="E23" s="4"/>
      <c r="F23" s="4"/>
      <c r="G23" s="4"/>
      <c r="H23" s="4"/>
      <c r="I23" s="4"/>
      <c r="J23" s="7"/>
      <c r="K23" s="7"/>
      <c r="L23" s="4"/>
      <c r="M23" s="4"/>
      <c r="N23" s="4"/>
    </row>
    <row r="24" spans="1:14" x14ac:dyDescent="0.2">
      <c r="A24" s="9"/>
      <c r="B24" s="10"/>
      <c r="C24" s="10"/>
      <c r="D24" s="10"/>
    </row>
    <row r="25" spans="1:14" x14ac:dyDescent="0.2">
      <c r="A25" s="9"/>
      <c r="B25" s="10"/>
      <c r="C25" s="10"/>
      <c r="D25" s="10"/>
    </row>
    <row r="26" spans="1:14" x14ac:dyDescent="0.2">
      <c r="A26" s="9"/>
      <c r="B26" s="10"/>
      <c r="C26" s="10"/>
      <c r="D26" s="10"/>
    </row>
    <row r="27" spans="1:14" ht="15.75" x14ac:dyDescent="0.25">
      <c r="A27" s="742" t="s">
        <v>142</v>
      </c>
      <c r="B27" s="743"/>
      <c r="C27" s="743"/>
      <c r="D27" s="743"/>
      <c r="E27" s="743"/>
      <c r="F27" s="743"/>
      <c r="G27" s="743"/>
      <c r="H27" s="743"/>
      <c r="I27" s="743"/>
      <c r="J27" s="743"/>
      <c r="K27" s="743"/>
      <c r="L27" s="743"/>
      <c r="M27" s="743"/>
      <c r="N27" s="743"/>
    </row>
    <row r="28" spans="1:14" ht="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5.75" x14ac:dyDescent="0.25">
      <c r="A29" s="759" t="s">
        <v>62</v>
      </c>
      <c r="B29" s="758"/>
      <c r="C29" s="511">
        <v>1</v>
      </c>
      <c r="D29" s="511">
        <v>2</v>
      </c>
      <c r="E29" s="511">
        <v>3</v>
      </c>
      <c r="F29" s="511">
        <v>4</v>
      </c>
      <c r="G29" s="511">
        <v>5</v>
      </c>
      <c r="H29" s="511">
        <v>6</v>
      </c>
      <c r="I29" s="511">
        <v>7</v>
      </c>
      <c r="J29" s="511">
        <v>8</v>
      </c>
      <c r="K29" s="511">
        <v>9</v>
      </c>
      <c r="L29" s="511">
        <v>10</v>
      </c>
      <c r="M29" s="511">
        <v>11</v>
      </c>
      <c r="N29" s="511">
        <v>12</v>
      </c>
    </row>
    <row r="30" spans="1:14" ht="15.75" x14ac:dyDescent="0.25">
      <c r="A30" s="751" t="s">
        <v>547</v>
      </c>
      <c r="B30" s="750"/>
      <c r="C30" s="14"/>
      <c r="D30" s="756"/>
      <c r="E30" s="756"/>
      <c r="F30" s="756"/>
      <c r="G30" s="756"/>
      <c r="H30" s="756"/>
      <c r="I30" s="756"/>
      <c r="J30" s="756"/>
      <c r="K30" s="757"/>
      <c r="L30" s="756"/>
      <c r="M30" s="756"/>
      <c r="N30" s="756"/>
    </row>
    <row r="31" spans="1:14" ht="15" x14ac:dyDescent="0.2">
      <c r="A31" s="751" t="s">
        <v>546</v>
      </c>
      <c r="B31" s="750"/>
      <c r="C31" s="4"/>
      <c r="D31" s="7"/>
      <c r="E31" s="4"/>
      <c r="F31" s="4"/>
      <c r="G31" s="4"/>
      <c r="H31" s="4"/>
      <c r="I31" s="4"/>
      <c r="J31" s="755"/>
      <c r="K31" s="19"/>
      <c r="L31" s="4"/>
      <c r="M31" s="4"/>
      <c r="N31" s="4"/>
    </row>
    <row r="32" spans="1:14" ht="15" x14ac:dyDescent="0.2">
      <c r="A32" s="751" t="s">
        <v>545</v>
      </c>
      <c r="B32" s="750"/>
      <c r="C32" s="7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</row>
    <row r="33" spans="1:14" ht="15" x14ac:dyDescent="0.2">
      <c r="A33" s="751" t="s">
        <v>544</v>
      </c>
      <c r="B33" s="750"/>
      <c r="C33" s="4"/>
      <c r="D33" s="4"/>
      <c r="E33" s="7"/>
      <c r="F33" s="17"/>
      <c r="G33" s="4"/>
      <c r="H33" s="4"/>
      <c r="I33" s="4"/>
      <c r="J33" s="4"/>
      <c r="K33" s="19"/>
      <c r="L33" s="4"/>
      <c r="M33" s="4"/>
      <c r="N33" s="4"/>
    </row>
    <row r="34" spans="1:14" ht="15" x14ac:dyDescent="0.2">
      <c r="A34" s="751" t="s">
        <v>543</v>
      </c>
      <c r="B34" s="750"/>
      <c r="C34" s="4"/>
      <c r="D34" s="4"/>
      <c r="E34" s="4"/>
      <c r="F34" s="8"/>
      <c r="G34" s="7"/>
      <c r="H34" s="7"/>
      <c r="I34" s="7"/>
      <c r="J34" s="7"/>
      <c r="K34" s="19"/>
      <c r="L34" s="4"/>
      <c r="M34" s="755"/>
      <c r="N34" s="755"/>
    </row>
    <row r="35" spans="1:14" ht="15" x14ac:dyDescent="0.2">
      <c r="A35" s="751" t="s">
        <v>542</v>
      </c>
      <c r="B35" s="750"/>
      <c r="C35" s="4"/>
      <c r="D35" s="4"/>
      <c r="E35" s="7"/>
      <c r="F35" s="8"/>
      <c r="G35" s="4"/>
      <c r="H35" s="4"/>
      <c r="I35" s="4"/>
      <c r="J35" s="4"/>
      <c r="K35" s="754"/>
      <c r="L35" s="4"/>
      <c r="M35" s="4"/>
      <c r="N35" s="4"/>
    </row>
    <row r="36" spans="1:14" ht="15" x14ac:dyDescent="0.2">
      <c r="A36" s="751" t="s">
        <v>541</v>
      </c>
      <c r="B36" s="750"/>
      <c r="C36" s="4"/>
      <c r="D36" s="4"/>
      <c r="E36" s="755"/>
      <c r="F36" s="8"/>
      <c r="G36" s="4"/>
      <c r="H36" s="4"/>
      <c r="I36" s="4"/>
      <c r="J36" s="4"/>
      <c r="K36" s="20"/>
      <c r="L36" s="4"/>
      <c r="M36" s="4"/>
      <c r="N36" s="4"/>
    </row>
    <row r="37" spans="1:14" ht="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ht="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ht="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15.75" x14ac:dyDescent="0.25">
      <c r="A40" s="742" t="s">
        <v>143</v>
      </c>
      <c r="B40" s="743"/>
      <c r="C40" s="743"/>
      <c r="D40" s="743"/>
      <c r="E40" s="743"/>
      <c r="F40" s="743"/>
      <c r="G40" s="743"/>
      <c r="H40" s="743"/>
      <c r="I40" s="743"/>
      <c r="J40" s="743"/>
      <c r="K40" s="743"/>
      <c r="L40" s="743"/>
      <c r="M40" s="743"/>
      <c r="N40" s="743"/>
    </row>
    <row r="41" spans="1:14" ht="15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ht="15.75" x14ac:dyDescent="0.25">
      <c r="A42" s="753" t="s">
        <v>62</v>
      </c>
      <c r="B42" s="752"/>
      <c r="C42" s="511">
        <v>1</v>
      </c>
      <c r="D42" s="511">
        <v>2</v>
      </c>
      <c r="E42" s="511">
        <v>3</v>
      </c>
      <c r="F42" s="511">
        <v>4</v>
      </c>
      <c r="G42" s="511">
        <v>5</v>
      </c>
      <c r="H42" s="511">
        <v>6</v>
      </c>
      <c r="I42" s="511">
        <v>7</v>
      </c>
      <c r="J42" s="511">
        <v>8</v>
      </c>
      <c r="K42" s="511">
        <v>9</v>
      </c>
      <c r="L42" s="511">
        <v>10</v>
      </c>
      <c r="M42" s="511">
        <v>11</v>
      </c>
      <c r="N42" s="511">
        <v>12</v>
      </c>
    </row>
    <row r="43" spans="1:14" ht="15.75" x14ac:dyDescent="0.25">
      <c r="A43" s="751" t="s">
        <v>540</v>
      </c>
      <c r="B43" s="750"/>
      <c r="C43" s="14"/>
      <c r="D43" s="14"/>
      <c r="E43" s="14"/>
      <c r="F43" s="14"/>
      <c r="G43" s="14"/>
      <c r="H43" s="14"/>
      <c r="I43" s="14"/>
      <c r="J43" s="14"/>
      <c r="K43" s="18"/>
      <c r="L43" s="14"/>
      <c r="M43" s="14"/>
      <c r="N43" s="14"/>
    </row>
    <row r="44" spans="1:14" ht="15" x14ac:dyDescent="0.2">
      <c r="A44" s="751" t="s">
        <v>539</v>
      </c>
      <c r="B44" s="750"/>
      <c r="C44" s="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4" ht="15" x14ac:dyDescent="0.2">
      <c r="A45" s="751" t="s">
        <v>538</v>
      </c>
      <c r="B45" s="750"/>
      <c r="D45" s="4"/>
      <c r="E45" s="4"/>
      <c r="F45" s="4"/>
      <c r="G45" s="4"/>
      <c r="H45" s="7"/>
      <c r="I45" s="4"/>
      <c r="J45" s="4"/>
      <c r="K45" s="19"/>
      <c r="L45" s="4"/>
      <c r="M45" s="4"/>
      <c r="N45" s="4"/>
    </row>
    <row r="46" spans="1:14" ht="15" x14ac:dyDescent="0.2">
      <c r="A46" s="751" t="s">
        <v>537</v>
      </c>
      <c r="B46" s="750"/>
      <c r="C46" s="4"/>
      <c r="D46" s="4"/>
      <c r="E46" s="7"/>
      <c r="F46" s="17"/>
      <c r="G46" s="4"/>
      <c r="H46" s="4"/>
      <c r="I46" s="4"/>
      <c r="J46" s="4"/>
      <c r="K46" s="19"/>
      <c r="L46" s="4"/>
      <c r="M46" s="4"/>
      <c r="N46" s="4"/>
    </row>
    <row r="47" spans="1:14" ht="15" x14ac:dyDescent="0.2">
      <c r="A47" s="751" t="s">
        <v>536</v>
      </c>
      <c r="B47" s="750"/>
      <c r="C47" s="4"/>
      <c r="D47" s="4"/>
      <c r="E47" s="4"/>
      <c r="F47" s="8"/>
      <c r="G47" s="7"/>
      <c r="H47" s="755"/>
      <c r="I47" s="755"/>
      <c r="J47" s="755"/>
      <c r="K47" s="19"/>
      <c r="L47" s="4"/>
      <c r="M47" s="7"/>
      <c r="N47" s="7"/>
    </row>
    <row r="48" spans="1:14" ht="15" x14ac:dyDescent="0.2">
      <c r="A48" s="751" t="s">
        <v>535</v>
      </c>
      <c r="B48" s="750"/>
      <c r="C48" s="4"/>
      <c r="D48" s="4"/>
      <c r="E48" s="7"/>
      <c r="F48" s="8"/>
      <c r="G48" s="4"/>
      <c r="H48" s="4"/>
      <c r="I48" s="4"/>
      <c r="J48" s="4"/>
      <c r="K48" s="754"/>
      <c r="L48" s="4"/>
      <c r="M48" s="4"/>
      <c r="N48" s="4"/>
    </row>
    <row r="49" spans="1:15" ht="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5" ht="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5" ht="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5" ht="15.75" x14ac:dyDescent="0.25">
      <c r="A52" s="742" t="s">
        <v>144</v>
      </c>
      <c r="B52" s="743"/>
      <c r="C52" s="743"/>
      <c r="D52" s="743"/>
      <c r="E52" s="743"/>
      <c r="F52" s="743"/>
      <c r="G52" s="743"/>
      <c r="H52" s="743"/>
      <c r="I52" s="743"/>
      <c r="J52" s="743"/>
      <c r="K52" s="743"/>
      <c r="L52" s="743"/>
      <c r="M52" s="743"/>
      <c r="N52" s="743"/>
      <c r="O52" s="11"/>
    </row>
    <row r="53" spans="1:15" ht="15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spans="1:15" ht="15.75" x14ac:dyDescent="0.25">
      <c r="A54" s="753" t="s">
        <v>62</v>
      </c>
      <c r="B54" s="752"/>
      <c r="C54" s="511">
        <v>1</v>
      </c>
      <c r="D54" s="511">
        <v>2</v>
      </c>
      <c r="E54" s="511">
        <v>3</v>
      </c>
      <c r="F54" s="511">
        <v>4</v>
      </c>
      <c r="G54" s="511">
        <v>5</v>
      </c>
      <c r="H54" s="511">
        <v>6</v>
      </c>
      <c r="I54" s="511">
        <v>7</v>
      </c>
      <c r="J54" s="511">
        <v>8</v>
      </c>
      <c r="K54" s="511">
        <v>9</v>
      </c>
      <c r="L54" s="511">
        <v>10</v>
      </c>
      <c r="M54" s="511">
        <v>11</v>
      </c>
      <c r="N54" s="511">
        <v>12</v>
      </c>
      <c r="O54" s="11"/>
    </row>
    <row r="55" spans="1:15" ht="15.75" x14ac:dyDescent="0.25">
      <c r="A55" s="751" t="s">
        <v>534</v>
      </c>
      <c r="B55" s="750"/>
      <c r="C55" s="14"/>
      <c r="D55" s="14"/>
      <c r="E55" s="14"/>
      <c r="F55" s="14"/>
      <c r="G55" s="14"/>
      <c r="H55" s="14"/>
      <c r="I55" s="14"/>
      <c r="J55" s="14"/>
      <c r="K55" s="18"/>
      <c r="L55" s="14"/>
      <c r="M55" s="14"/>
      <c r="N55" s="14"/>
      <c r="O55" s="11"/>
    </row>
    <row r="56" spans="1:15" ht="15" x14ac:dyDescent="0.2">
      <c r="A56" s="751" t="s">
        <v>533</v>
      </c>
      <c r="B56" s="750"/>
      <c r="C56" s="4"/>
      <c r="D56" s="7"/>
      <c r="E56" s="4"/>
      <c r="F56" s="4"/>
      <c r="G56" s="4"/>
      <c r="H56" s="4"/>
      <c r="I56" s="4"/>
      <c r="J56" s="7"/>
      <c r="K56" s="19"/>
      <c r="L56" s="4"/>
      <c r="M56" s="4"/>
      <c r="N56" s="4"/>
      <c r="O56" s="11"/>
    </row>
    <row r="57" spans="1:15" ht="15" x14ac:dyDescent="0.2">
      <c r="A57" s="751" t="s">
        <v>532</v>
      </c>
      <c r="B57" s="750"/>
      <c r="C57" s="7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11"/>
    </row>
    <row r="58" spans="1:15" ht="15" x14ac:dyDescent="0.2">
      <c r="A58" s="751" t="s">
        <v>531</v>
      </c>
      <c r="B58" s="750"/>
      <c r="C58" s="4"/>
      <c r="D58" s="4"/>
      <c r="E58" s="7"/>
      <c r="F58" s="17"/>
      <c r="G58" s="7"/>
      <c r="H58" s="17"/>
      <c r="I58" s="7"/>
      <c r="J58" s="4"/>
      <c r="K58" s="19"/>
      <c r="L58" s="4"/>
      <c r="M58" s="4"/>
      <c r="N58" s="4"/>
      <c r="O58" s="11"/>
    </row>
    <row r="59" spans="1:15" ht="15" x14ac:dyDescent="0.2">
      <c r="A59" s="11"/>
    </row>
    <row r="60" spans="1:15" ht="15" x14ac:dyDescent="0.2">
      <c r="A60" s="11"/>
    </row>
    <row r="61" spans="1:15" ht="15" x14ac:dyDescent="0.2">
      <c r="A61" s="11"/>
    </row>
    <row r="62" spans="1:15" ht="15" x14ac:dyDescent="0.2">
      <c r="A62" s="11"/>
    </row>
    <row r="63" spans="1:15" ht="15" x14ac:dyDescent="0.2">
      <c r="A63" s="11"/>
    </row>
    <row r="64" spans="1:15" ht="15" x14ac:dyDescent="0.2">
      <c r="A64" s="11"/>
    </row>
    <row r="65" spans="1:15" ht="15" x14ac:dyDescent="0.2">
      <c r="A65" s="11"/>
    </row>
    <row r="66" spans="1:15" ht="15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 spans="1:15" ht="15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spans="1:15" ht="15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 spans="1:15" ht="15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 spans="1:15" ht="15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 spans="1:15" ht="15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spans="1:15" ht="15" x14ac:dyDescent="0.2">
      <c r="O72" s="11"/>
    </row>
    <row r="73" spans="1:15" ht="15" x14ac:dyDescent="0.2">
      <c r="O73" s="11"/>
    </row>
    <row r="74" spans="1:15" ht="15" x14ac:dyDescent="0.2">
      <c r="O74" s="11"/>
    </row>
    <row r="75" spans="1:15" ht="15" x14ac:dyDescent="0.2">
      <c r="O75" s="11"/>
    </row>
    <row r="76" spans="1:15" ht="15" x14ac:dyDescent="0.2">
      <c r="O76" s="11"/>
    </row>
    <row r="77" spans="1:15" ht="15" x14ac:dyDescent="0.2">
      <c r="O77" s="11"/>
    </row>
    <row r="78" spans="1:15" ht="15" x14ac:dyDescent="0.2">
      <c r="O78" s="11"/>
    </row>
    <row r="79" spans="1:15" ht="15" x14ac:dyDescent="0.2">
      <c r="O79" s="11"/>
    </row>
    <row r="80" spans="1:15" ht="15" x14ac:dyDescent="0.2">
      <c r="O80" s="11"/>
    </row>
    <row r="81" spans="15:15" ht="15" x14ac:dyDescent="0.2">
      <c r="O81" s="11"/>
    </row>
    <row r="82" spans="15:15" ht="15" x14ac:dyDescent="0.2">
      <c r="O82" s="11"/>
    </row>
    <row r="83" spans="15:15" ht="15" x14ac:dyDescent="0.2">
      <c r="O83" s="11"/>
    </row>
    <row r="84" spans="15:15" ht="15" x14ac:dyDescent="0.2">
      <c r="O84" s="11"/>
    </row>
    <row r="85" spans="15:15" ht="15" x14ac:dyDescent="0.2">
      <c r="O85" s="11"/>
    </row>
    <row r="86" spans="15:15" ht="15" x14ac:dyDescent="0.2">
      <c r="O86" s="11"/>
    </row>
    <row r="87" spans="15:15" ht="15" x14ac:dyDescent="0.2">
      <c r="O87" s="11"/>
    </row>
    <row r="88" spans="15:15" ht="15" x14ac:dyDescent="0.2">
      <c r="O88" s="11"/>
    </row>
    <row r="89" spans="15:15" ht="15" x14ac:dyDescent="0.2">
      <c r="O89" s="11"/>
    </row>
    <row r="90" spans="15:15" ht="15" x14ac:dyDescent="0.2">
      <c r="O90" s="11"/>
    </row>
    <row r="91" spans="15:15" ht="15" x14ac:dyDescent="0.2">
      <c r="O91" s="11"/>
    </row>
    <row r="92" spans="15:15" ht="15" x14ac:dyDescent="0.2">
      <c r="O92" s="11"/>
    </row>
    <row r="93" spans="15:15" ht="15" x14ac:dyDescent="0.2">
      <c r="O93" s="11"/>
    </row>
    <row r="94" spans="15:15" ht="15" x14ac:dyDescent="0.2">
      <c r="O94" s="11"/>
    </row>
    <row r="95" spans="15:15" ht="15" x14ac:dyDescent="0.2">
      <c r="O95" s="11"/>
    </row>
    <row r="96" spans="15:15" ht="15" x14ac:dyDescent="0.2">
      <c r="O96" s="11"/>
    </row>
    <row r="97" spans="15:15" ht="15" x14ac:dyDescent="0.2">
      <c r="O97" s="11"/>
    </row>
    <row r="98" spans="15:15" ht="15" x14ac:dyDescent="0.2">
      <c r="O98" s="11"/>
    </row>
    <row r="99" spans="15:15" ht="15" x14ac:dyDescent="0.2">
      <c r="O99" s="11"/>
    </row>
    <row r="100" spans="15:15" ht="15" x14ac:dyDescent="0.2">
      <c r="O100" s="11"/>
    </row>
    <row r="101" spans="15:15" ht="15" x14ac:dyDescent="0.2">
      <c r="O101" s="11"/>
    </row>
    <row r="102" spans="15:15" ht="15" x14ac:dyDescent="0.2">
      <c r="O102" s="11"/>
    </row>
    <row r="103" spans="15:15" ht="15" x14ac:dyDescent="0.2">
      <c r="O103" s="11"/>
    </row>
    <row r="104" spans="15:15" ht="15" x14ac:dyDescent="0.2">
      <c r="O104" s="11"/>
    </row>
    <row r="105" spans="15:15" ht="15" x14ac:dyDescent="0.2">
      <c r="O105" s="11"/>
    </row>
  </sheetData>
  <mergeCells count="40">
    <mergeCell ref="A56:B56"/>
    <mergeCell ref="A57:B57"/>
    <mergeCell ref="A58:B58"/>
    <mergeCell ref="A54:B54"/>
    <mergeCell ref="A55:B55"/>
    <mergeCell ref="A34:B34"/>
    <mergeCell ref="A35:B35"/>
    <mergeCell ref="A36:B36"/>
    <mergeCell ref="A29:B29"/>
    <mergeCell ref="A30:B30"/>
    <mergeCell ref="A31:B31"/>
    <mergeCell ref="A46:B46"/>
    <mergeCell ref="A47:B47"/>
    <mergeCell ref="A48:B48"/>
    <mergeCell ref="A10:B10"/>
    <mergeCell ref="A42:B42"/>
    <mergeCell ref="A43:B43"/>
    <mergeCell ref="A44:B44"/>
    <mergeCell ref="A45:B45"/>
    <mergeCell ref="A19:B19"/>
    <mergeCell ref="A18:B18"/>
    <mergeCell ref="A12:B12"/>
    <mergeCell ref="A13:B13"/>
    <mergeCell ref="A14:B14"/>
    <mergeCell ref="A32:B32"/>
    <mergeCell ref="A33:B33"/>
    <mergeCell ref="A20:B20"/>
    <mergeCell ref="A21:B21"/>
    <mergeCell ref="A22:B22"/>
    <mergeCell ref="A23:B23"/>
    <mergeCell ref="A15:B15"/>
    <mergeCell ref="A16:B16"/>
    <mergeCell ref="A17:B17"/>
    <mergeCell ref="A52:N52"/>
    <mergeCell ref="A7:N7"/>
    <mergeCell ref="C8:N8"/>
    <mergeCell ref="A9:B9"/>
    <mergeCell ref="A27:N27"/>
    <mergeCell ref="A40:N40"/>
    <mergeCell ref="A11:B11"/>
  </mergeCells>
  <pageMargins left="0.47" right="0.51" top="0.59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DATOS</vt:lpstr>
      <vt:lpstr>CUADRO DE INVERSION</vt:lpstr>
      <vt:lpstr>ESTRUCTURA FINANCIERA</vt:lpstr>
      <vt:lpstr>CUADRO DE EGRESOS E INGRESOS</vt:lpstr>
      <vt:lpstr>PUNTO DE EQUILIBRIO</vt:lpstr>
      <vt:lpstr>M. DE CALCULO DE COSTOS VAR</vt:lpstr>
      <vt:lpstr>M. DE CALCULO DE GASTOS FIJO</vt:lpstr>
      <vt:lpstr>COSTOS </vt:lpstr>
      <vt:lpstr>INGRESOS </vt:lpstr>
      <vt:lpstr>DEPRECIACIONES</vt:lpstr>
      <vt:lpstr>AMORTIZACIONES</vt:lpstr>
      <vt:lpstr>SENSIBILIDAD</vt:lpstr>
      <vt:lpstr>TIR - VAN</vt:lpstr>
      <vt:lpstr>ESTADO DE RESULTADOS</vt:lpstr>
      <vt:lpstr>ESTADO DE SITUACIÓN FINANCIERA</vt:lpstr>
      <vt:lpstr>BALANZA</vt:lpstr>
      <vt:lpstr>LIBRO MAYOR</vt:lpstr>
      <vt:lpstr>CRONOGRAMA DE ACTIVIDADES </vt:lpstr>
    </vt:vector>
  </TitlesOfParts>
  <Manager/>
  <Company>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Ana Laura Mata Martinez</cp:lastModifiedBy>
  <cp:revision/>
  <dcterms:created xsi:type="dcterms:W3CDTF">2007-09-29T15:21:41Z</dcterms:created>
  <dcterms:modified xsi:type="dcterms:W3CDTF">2025-12-17T15:27:41Z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B6444D575A094E91829C34E5C895C942_12</vt:lpwstr>
  </property>
  <property fmtid="{D5CDD505-2E9C-101B-9397-08002B2CF9AE}" pid="3" name="KSOProductBuildVer">
    <vt:lpwstr>2058-12.2.0.23131</vt:lpwstr>
  </property>
</Properties>
</file>